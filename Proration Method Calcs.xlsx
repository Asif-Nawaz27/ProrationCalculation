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28e8d4c99ae7b3/2025 Plans/"/>
    </mc:Choice>
  </mc:AlternateContent>
  <xr:revisionPtr revIDLastSave="694" documentId="8_{496F7018-6B56-6E41-8FAA-0F2966835A0C}" xr6:coauthVersionLast="47" xr6:coauthVersionMax="47" xr10:uidLastSave="{C249381F-4393-423C-8BB2-4EB465238502}"/>
  <bookViews>
    <workbookView xWindow="40920" yWindow="75" windowWidth="29040" windowHeight="15840" xr2:uid="{9760D800-A94B-9E45-9435-A3F8FD70C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O14" i="1"/>
  <c r="O15" i="1"/>
  <c r="O16" i="1"/>
  <c r="O17" i="1"/>
  <c r="O18" i="1"/>
  <c r="O19" i="1"/>
  <c r="O20" i="1"/>
  <c r="O21" i="1"/>
  <c r="O22" i="1"/>
  <c r="O23" i="1"/>
  <c r="O24" i="1"/>
  <c r="O25" i="1"/>
  <c r="J33" i="1"/>
  <c r="E34" i="1"/>
  <c r="B36" i="1"/>
  <c r="O8" i="1"/>
  <c r="O9" i="1"/>
  <c r="O10" i="1"/>
  <c r="O11" i="1"/>
  <c r="O12" i="1"/>
  <c r="O13" i="1"/>
  <c r="M12" i="1"/>
  <c r="M13" i="1"/>
  <c r="M14" i="1"/>
  <c r="M15" i="1"/>
  <c r="M16" i="1"/>
  <c r="M8" i="1"/>
  <c r="M9" i="1"/>
  <c r="M10" i="1"/>
  <c r="M11" i="1"/>
  <c r="E11" i="1"/>
  <c r="B5" i="1"/>
  <c r="C12" i="1" s="1"/>
  <c r="B34" i="1"/>
  <c r="I50" i="1"/>
  <c r="H18" i="1"/>
  <c r="N18" i="1" s="1"/>
  <c r="I18" i="1"/>
  <c r="I9" i="1"/>
  <c r="H50" i="1"/>
  <c r="M50" i="1" s="1"/>
  <c r="H49" i="1"/>
  <c r="H46" i="1"/>
  <c r="M46" i="1" s="1"/>
  <c r="H45" i="1"/>
  <c r="H44" i="1"/>
  <c r="H43" i="1"/>
  <c r="H42" i="1"/>
  <c r="H48" i="1" s="1"/>
  <c r="M48" i="1" s="1"/>
  <c r="I41" i="1"/>
  <c r="M41" i="1" s="1"/>
  <c r="I40" i="1"/>
  <c r="I37" i="1"/>
  <c r="I36" i="1"/>
  <c r="I35" i="1"/>
  <c r="I34" i="1"/>
  <c r="M34" i="1" s="1"/>
  <c r="I33" i="1"/>
  <c r="I39" i="1" s="1"/>
  <c r="I43" i="1"/>
  <c r="I44" i="1"/>
  <c r="I45" i="1"/>
  <c r="O45" i="1" s="1"/>
  <c r="I46" i="1"/>
  <c r="I47" i="1"/>
  <c r="I48" i="1"/>
  <c r="I49" i="1"/>
  <c r="I42" i="1"/>
  <c r="H34" i="1"/>
  <c r="H35" i="1"/>
  <c r="M35" i="1" s="1"/>
  <c r="H36" i="1"/>
  <c r="M36" i="1" s="1"/>
  <c r="H37" i="1"/>
  <c r="H38" i="1"/>
  <c r="H39" i="1"/>
  <c r="H40" i="1"/>
  <c r="M40" i="1" s="1"/>
  <c r="H41" i="1"/>
  <c r="O41" i="1" s="1"/>
  <c r="H33" i="1"/>
  <c r="I19" i="1"/>
  <c r="I20" i="1"/>
  <c r="I21" i="1"/>
  <c r="I22" i="1"/>
  <c r="I23" i="1"/>
  <c r="I24" i="1"/>
  <c r="H25" i="1"/>
  <c r="H24" i="1"/>
  <c r="M24" i="1" s="1"/>
  <c r="H21" i="1"/>
  <c r="H20" i="1"/>
  <c r="M20" i="1" s="1"/>
  <c r="H19" i="1"/>
  <c r="H17" i="1"/>
  <c r="I17" i="1"/>
  <c r="D32" i="1"/>
  <c r="D33" i="1"/>
  <c r="D34" i="1"/>
  <c r="D35" i="1"/>
  <c r="D36" i="1"/>
  <c r="D37" i="1"/>
  <c r="D31" i="1"/>
  <c r="C32" i="1"/>
  <c r="C33" i="1"/>
  <c r="C34" i="1"/>
  <c r="C35" i="1"/>
  <c r="C36" i="1"/>
  <c r="C37" i="1"/>
  <c r="C31" i="1"/>
  <c r="I16" i="1"/>
  <c r="I15" i="1"/>
  <c r="B37" i="1"/>
  <c r="B44" i="1"/>
  <c r="M42" i="1" l="1"/>
  <c r="M44" i="1"/>
  <c r="M19" i="1"/>
  <c r="K18" i="1"/>
  <c r="M18" i="1"/>
  <c r="M25" i="1"/>
  <c r="M21" i="1"/>
  <c r="M17" i="1"/>
  <c r="M45" i="1"/>
  <c r="M43" i="1"/>
  <c r="M49" i="1"/>
  <c r="O39" i="1"/>
  <c r="M37" i="1"/>
  <c r="M33" i="1"/>
  <c r="M39" i="1"/>
  <c r="O34" i="1"/>
  <c r="W34" i="1" s="1"/>
  <c r="C13" i="1"/>
  <c r="E13" i="1" s="1"/>
  <c r="C11" i="1"/>
  <c r="O43" i="1"/>
  <c r="W43" i="1" s="1"/>
  <c r="O46" i="1"/>
  <c r="W46" i="1" s="1"/>
  <c r="O36" i="1"/>
  <c r="O48" i="1"/>
  <c r="W48" i="1" s="1"/>
  <c r="O50" i="1"/>
  <c r="W50" i="1" s="1"/>
  <c r="O42" i="1"/>
  <c r="W42" i="1" s="1"/>
  <c r="E36" i="1"/>
  <c r="O35" i="1"/>
  <c r="O49" i="1"/>
  <c r="W49" i="1" s="1"/>
  <c r="O37" i="1"/>
  <c r="O44" i="1"/>
  <c r="W44" i="1" s="1"/>
  <c r="O40" i="1"/>
  <c r="O33" i="1"/>
  <c r="H47" i="1"/>
  <c r="M47" i="1" s="1"/>
  <c r="I38" i="1"/>
  <c r="M38" i="1" s="1"/>
  <c r="J18" i="1"/>
  <c r="L18" i="1"/>
  <c r="P18" i="1"/>
  <c r="X18" i="1" s="1"/>
  <c r="N20" i="1"/>
  <c r="L44" i="1"/>
  <c r="K45" i="1"/>
  <c r="P49" i="1"/>
  <c r="X49" i="1" s="1"/>
  <c r="L34" i="1"/>
  <c r="J17" i="1"/>
  <c r="K24" i="1"/>
  <c r="P50" i="1"/>
  <c r="X50" i="1" s="1"/>
  <c r="K49" i="1"/>
  <c r="K46" i="1"/>
  <c r="J42" i="1"/>
  <c r="K34" i="1"/>
  <c r="N34" i="1"/>
  <c r="J34" i="1"/>
  <c r="P34" i="1"/>
  <c r="X34" i="1" s="1"/>
  <c r="L50" i="1"/>
  <c r="L45" i="1"/>
  <c r="J43" i="1"/>
  <c r="N45" i="1"/>
  <c r="K20" i="1"/>
  <c r="N25" i="1"/>
  <c r="N21" i="1"/>
  <c r="P42" i="1"/>
  <c r="X42" i="1" s="1"/>
  <c r="N49" i="1"/>
  <c r="J45" i="1"/>
  <c r="J49" i="1"/>
  <c r="K48" i="1"/>
  <c r="P44" i="1"/>
  <c r="X44" i="1" s="1"/>
  <c r="L49" i="1"/>
  <c r="P45" i="1"/>
  <c r="X45" i="1" s="1"/>
  <c r="L43" i="1"/>
  <c r="N43" i="1"/>
  <c r="P43" i="1"/>
  <c r="X43" i="1" s="1"/>
  <c r="K43" i="1"/>
  <c r="K50" i="1"/>
  <c r="N46" i="1"/>
  <c r="J46" i="1"/>
  <c r="K44" i="1"/>
  <c r="J19" i="1"/>
  <c r="L25" i="1"/>
  <c r="N50" i="1"/>
  <c r="J50" i="1"/>
  <c r="W45" i="1"/>
  <c r="N44" i="1"/>
  <c r="J44" i="1"/>
  <c r="L42" i="1"/>
  <c r="K42" i="1"/>
  <c r="P48" i="1"/>
  <c r="X48" i="1" s="1"/>
  <c r="L48" i="1"/>
  <c r="P46" i="1"/>
  <c r="X46" i="1" s="1"/>
  <c r="L46" i="1"/>
  <c r="L21" i="1"/>
  <c r="N42" i="1"/>
  <c r="N24" i="1"/>
  <c r="N19" i="1"/>
  <c r="N17" i="1"/>
  <c r="K25" i="1"/>
  <c r="J24" i="1"/>
  <c r="K21" i="1"/>
  <c r="J20" i="1"/>
  <c r="J25" i="1"/>
  <c r="J21" i="1"/>
  <c r="P19" i="1"/>
  <c r="X19" i="1" s="1"/>
  <c r="P17" i="1"/>
  <c r="X17" i="1" s="1"/>
  <c r="P24" i="1"/>
  <c r="X24" i="1" s="1"/>
  <c r="L24" i="1"/>
  <c r="P20" i="1"/>
  <c r="X20" i="1" s="1"/>
  <c r="L20" i="1"/>
  <c r="K19" i="1"/>
  <c r="K17" i="1"/>
  <c r="H22" i="1"/>
  <c r="H23" i="1"/>
  <c r="L19" i="1"/>
  <c r="L17" i="1"/>
  <c r="P25" i="1"/>
  <c r="X25" i="1" s="1"/>
  <c r="P21" i="1"/>
  <c r="X21" i="1" s="1"/>
  <c r="I12" i="1"/>
  <c r="I11" i="1"/>
  <c r="I10" i="1"/>
  <c r="I8" i="1"/>
  <c r="H9" i="1"/>
  <c r="D14" i="1"/>
  <c r="D13" i="1"/>
  <c r="D12" i="1"/>
  <c r="D11" i="1"/>
  <c r="D10" i="1"/>
  <c r="D9" i="1"/>
  <c r="D8" i="1"/>
  <c r="E37" i="1"/>
  <c r="E35" i="1"/>
  <c r="B35" i="1"/>
  <c r="E33" i="1"/>
  <c r="E32" i="1"/>
  <c r="B33" i="1"/>
  <c r="B32" i="1"/>
  <c r="E31" i="1"/>
  <c r="B31" i="1"/>
  <c r="N23" i="1" l="1"/>
  <c r="M23" i="1"/>
  <c r="N22" i="1"/>
  <c r="M22" i="1"/>
  <c r="P9" i="1"/>
  <c r="X9" i="1" s="1"/>
  <c r="V45" i="1"/>
  <c r="O38" i="1"/>
  <c r="O47" i="1"/>
  <c r="W47" i="1" s="1"/>
  <c r="U42" i="1"/>
  <c r="K9" i="1"/>
  <c r="L9" i="1"/>
  <c r="N9" i="1"/>
  <c r="J9" i="1"/>
  <c r="R34" i="1"/>
  <c r="V34" i="1"/>
  <c r="T34" i="1"/>
  <c r="S46" i="1"/>
  <c r="U48" i="1"/>
  <c r="S43" i="1"/>
  <c r="U49" i="1"/>
  <c r="S34" i="1"/>
  <c r="U34" i="1"/>
  <c r="T45" i="1"/>
  <c r="T43" i="1"/>
  <c r="U50" i="1"/>
  <c r="S48" i="1"/>
  <c r="R43" i="1"/>
  <c r="V49" i="1"/>
  <c r="U45" i="1"/>
  <c r="S42" i="1"/>
  <c r="S49" i="1"/>
  <c r="V43" i="1"/>
  <c r="U43" i="1"/>
  <c r="U44" i="1"/>
  <c r="U46" i="1"/>
  <c r="S45" i="1"/>
  <c r="N48" i="1"/>
  <c r="V48" i="1" s="1"/>
  <c r="J48" i="1"/>
  <c r="R48" i="1" s="1"/>
  <c r="P47" i="1"/>
  <c r="X47" i="1" s="1"/>
  <c r="U47" i="1"/>
  <c r="K47" i="1"/>
  <c r="S47" i="1" s="1"/>
  <c r="L47" i="1"/>
  <c r="T47" i="1" s="1"/>
  <c r="V42" i="1"/>
  <c r="R45" i="1"/>
  <c r="T48" i="1"/>
  <c r="T42" i="1"/>
  <c r="R46" i="1"/>
  <c r="R42" i="1"/>
  <c r="T50" i="1"/>
  <c r="R44" i="1"/>
  <c r="J47" i="1"/>
  <c r="R47" i="1" s="1"/>
  <c r="R50" i="1"/>
  <c r="V46" i="1"/>
  <c r="T44" i="1"/>
  <c r="T46" i="1"/>
  <c r="R49" i="1"/>
  <c r="V44" i="1"/>
  <c r="N47" i="1"/>
  <c r="V47" i="1" s="1"/>
  <c r="V50" i="1"/>
  <c r="S44" i="1"/>
  <c r="S50" i="1"/>
  <c r="T49" i="1"/>
  <c r="J23" i="1"/>
  <c r="L23" i="1"/>
  <c r="P23" i="1"/>
  <c r="X23" i="1" s="1"/>
  <c r="K23" i="1"/>
  <c r="K22" i="1"/>
  <c r="L22" i="1"/>
  <c r="P22" i="1"/>
  <c r="X22" i="1" s="1"/>
  <c r="J22" i="1"/>
  <c r="B13" i="1"/>
  <c r="H8" i="1"/>
  <c r="B11" i="1"/>
  <c r="V18" i="1" s="1"/>
  <c r="B8" i="1"/>
  <c r="R17" i="1" s="1"/>
  <c r="I14" i="1"/>
  <c r="I13" i="1"/>
  <c r="B12" i="1"/>
  <c r="C9" i="1"/>
  <c r="E9" i="1" s="1"/>
  <c r="B9" i="1"/>
  <c r="C10" i="1"/>
  <c r="E10" i="1" s="1"/>
  <c r="C14" i="1"/>
  <c r="E14" i="1" s="1"/>
  <c r="F14" i="1" s="1"/>
  <c r="C8" i="1"/>
  <c r="E8" i="1" s="1"/>
  <c r="E12" i="1"/>
  <c r="B10" i="1"/>
  <c r="T20" i="1" s="1"/>
  <c r="F33" i="1"/>
  <c r="F31" i="1"/>
  <c r="F35" i="1"/>
  <c r="F36" i="1"/>
  <c r="F37" i="1"/>
  <c r="F34" i="1"/>
  <c r="F32" i="1"/>
  <c r="W8" i="1" l="1"/>
  <c r="S17" i="1"/>
  <c r="S18" i="1"/>
  <c r="W20" i="1"/>
  <c r="W18" i="1"/>
  <c r="U21" i="1"/>
  <c r="U18" i="1"/>
  <c r="T18" i="1"/>
  <c r="R18" i="1"/>
  <c r="V9" i="1"/>
  <c r="W9" i="1"/>
  <c r="U9" i="1"/>
  <c r="T9" i="1"/>
  <c r="R9" i="1"/>
  <c r="S9" i="1"/>
  <c r="K8" i="1"/>
  <c r="S8" i="1" s="1"/>
  <c r="L8" i="1"/>
  <c r="T8" i="1" s="1"/>
  <c r="S19" i="1"/>
  <c r="S25" i="1"/>
  <c r="S23" i="1"/>
  <c r="F11" i="1"/>
  <c r="V19" i="1"/>
  <c r="V25" i="1"/>
  <c r="V20" i="1"/>
  <c r="V17" i="1"/>
  <c r="V21" i="1"/>
  <c r="W23" i="1"/>
  <c r="W21" i="1"/>
  <c r="W25" i="1"/>
  <c r="V22" i="1"/>
  <c r="W22" i="1"/>
  <c r="V23" i="1"/>
  <c r="U20" i="1"/>
  <c r="R24" i="1"/>
  <c r="U17" i="1"/>
  <c r="R19" i="1"/>
  <c r="T21" i="1"/>
  <c r="W17" i="1"/>
  <c r="R20" i="1"/>
  <c r="T19" i="1"/>
  <c r="T24" i="1"/>
  <c r="S20" i="1"/>
  <c r="S24" i="1"/>
  <c r="P8" i="1"/>
  <c r="X8" i="1" s="1"/>
  <c r="R22" i="1"/>
  <c r="S22" i="1"/>
  <c r="U23" i="1"/>
  <c r="R23" i="1"/>
  <c r="T17" i="1"/>
  <c r="R25" i="1"/>
  <c r="S21" i="1"/>
  <c r="W24" i="1"/>
  <c r="U19" i="1"/>
  <c r="W19" i="1"/>
  <c r="T22" i="1"/>
  <c r="T23" i="1"/>
  <c r="U25" i="1"/>
  <c r="U24" i="1"/>
  <c r="U22" i="1"/>
  <c r="V24" i="1"/>
  <c r="R21" i="1"/>
  <c r="T25" i="1"/>
  <c r="N8" i="1"/>
  <c r="V8" i="1" s="1"/>
  <c r="H16" i="1"/>
  <c r="H12" i="1"/>
  <c r="H10" i="1"/>
  <c r="H13" i="1"/>
  <c r="H14" i="1"/>
  <c r="H11" i="1"/>
  <c r="H15" i="1"/>
  <c r="J8" i="1"/>
  <c r="R8" i="1" s="1"/>
  <c r="U8" i="1"/>
  <c r="F10" i="1"/>
  <c r="F12" i="1"/>
  <c r="F9" i="1"/>
  <c r="F8" i="1"/>
  <c r="F13" i="1"/>
  <c r="N11" i="1" l="1"/>
  <c r="U11" i="1"/>
  <c r="N12" i="1"/>
  <c r="V12" i="1" s="1"/>
  <c r="U12" i="1"/>
  <c r="W14" i="1"/>
  <c r="U14" i="1"/>
  <c r="N16" i="1"/>
  <c r="U16" i="1"/>
  <c r="U13" i="1"/>
  <c r="N15" i="1"/>
  <c r="U15" i="1"/>
  <c r="W15" i="1"/>
  <c r="N10" i="1"/>
  <c r="W10" i="1"/>
  <c r="K13" i="1"/>
  <c r="S13" i="1" s="1"/>
  <c r="P13" i="1"/>
  <c r="X13" i="1" s="1"/>
  <c r="N13" i="1"/>
  <c r="V13" i="1" s="1"/>
  <c r="P15" i="1"/>
  <c r="X15" i="1" s="1"/>
  <c r="P14" i="1"/>
  <c r="X14" i="1" s="1"/>
  <c r="J13" i="1"/>
  <c r="R13" i="1" s="1"/>
  <c r="W13" i="1"/>
  <c r="L15" i="1"/>
  <c r="T15" i="1" s="1"/>
  <c r="N14" i="1"/>
  <c r="J12" i="1"/>
  <c r="R12" i="1" s="1"/>
  <c r="K12" i="1"/>
  <c r="S12" i="1" s="1"/>
  <c r="P12" i="1"/>
  <c r="X12" i="1" s="1"/>
  <c r="W12" i="1"/>
  <c r="L12" i="1"/>
  <c r="T12" i="1" s="1"/>
  <c r="K40" i="1"/>
  <c r="S40" i="1" s="1"/>
  <c r="U40" i="1"/>
  <c r="J40" i="1"/>
  <c r="R40" i="1" s="1"/>
  <c r="P40" i="1"/>
  <c r="X40" i="1" s="1"/>
  <c r="W40" i="1"/>
  <c r="N40" i="1"/>
  <c r="V40" i="1" s="1"/>
  <c r="L40" i="1"/>
  <c r="T40" i="1" s="1"/>
  <c r="K14" i="1"/>
  <c r="S14" i="1" s="1"/>
  <c r="U33" i="1"/>
  <c r="R33" i="1"/>
  <c r="L33" i="1"/>
  <c r="T33" i="1" s="1"/>
  <c r="K33" i="1"/>
  <c r="S33" i="1" s="1"/>
  <c r="P33" i="1"/>
  <c r="X33" i="1" s="1"/>
  <c r="W33" i="1"/>
  <c r="N33" i="1"/>
  <c r="V33" i="1" s="1"/>
  <c r="L39" i="1"/>
  <c r="T39" i="1" s="1"/>
  <c r="W39" i="1"/>
  <c r="N39" i="1"/>
  <c r="V39" i="1" s="1"/>
  <c r="P39" i="1"/>
  <c r="X39" i="1" s="1"/>
  <c r="J39" i="1"/>
  <c r="R39" i="1" s="1"/>
  <c r="U39" i="1"/>
  <c r="K39" i="1"/>
  <c r="S39" i="1" s="1"/>
  <c r="L16" i="1"/>
  <c r="T16" i="1" s="1"/>
  <c r="J16" i="1"/>
  <c r="R16" i="1" s="1"/>
  <c r="V16" i="1"/>
  <c r="P16" i="1"/>
  <c r="X16" i="1" s="1"/>
  <c r="W16" i="1"/>
  <c r="K16" i="1"/>
  <c r="S16" i="1" s="1"/>
  <c r="L14" i="1"/>
  <c r="T14" i="1" s="1"/>
  <c r="V14" i="1"/>
  <c r="P11" i="1"/>
  <c r="X11" i="1" s="1"/>
  <c r="K11" i="1"/>
  <c r="S11" i="1" s="1"/>
  <c r="V11" i="1"/>
  <c r="W11" i="1"/>
  <c r="J11" i="1"/>
  <c r="R11" i="1" s="1"/>
  <c r="L11" i="1"/>
  <c r="T11" i="1" s="1"/>
  <c r="J36" i="1"/>
  <c r="R36" i="1" s="1"/>
  <c r="U36" i="1"/>
  <c r="N36" i="1"/>
  <c r="V36" i="1" s="1"/>
  <c r="W36" i="1"/>
  <c r="P36" i="1"/>
  <c r="X36" i="1" s="1"/>
  <c r="L36" i="1"/>
  <c r="T36" i="1" s="1"/>
  <c r="K36" i="1"/>
  <c r="S36" i="1" s="1"/>
  <c r="J35" i="1"/>
  <c r="R35" i="1" s="1"/>
  <c r="N35" i="1"/>
  <c r="V35" i="1" s="1"/>
  <c r="P35" i="1"/>
  <c r="X35" i="1" s="1"/>
  <c r="K35" i="1"/>
  <c r="S35" i="1" s="1"/>
  <c r="U35" i="1"/>
  <c r="W35" i="1"/>
  <c r="L35" i="1"/>
  <c r="T35" i="1" s="1"/>
  <c r="J14" i="1"/>
  <c r="R14" i="1" s="1"/>
  <c r="V15" i="1"/>
  <c r="L13" i="1"/>
  <c r="T13" i="1" s="1"/>
  <c r="J41" i="1"/>
  <c r="R41" i="1" s="1"/>
  <c r="K41" i="1"/>
  <c r="S41" i="1" s="1"/>
  <c r="L41" i="1"/>
  <c r="T41" i="1" s="1"/>
  <c r="N41" i="1"/>
  <c r="V41" i="1" s="1"/>
  <c r="W41" i="1"/>
  <c r="U41" i="1"/>
  <c r="P41" i="1"/>
  <c r="X41" i="1" s="1"/>
  <c r="J10" i="1"/>
  <c r="R10" i="1" s="1"/>
  <c r="U10" i="1"/>
  <c r="P10" i="1"/>
  <c r="X10" i="1" s="1"/>
  <c r="V10" i="1"/>
  <c r="L10" i="1"/>
  <c r="T10" i="1" s="1"/>
  <c r="K10" i="1"/>
  <c r="S10" i="1" s="1"/>
  <c r="J38" i="1"/>
  <c r="R38" i="1" s="1"/>
  <c r="K38" i="1"/>
  <c r="S38" i="1" s="1"/>
  <c r="P38" i="1"/>
  <c r="X38" i="1" s="1"/>
  <c r="L38" i="1"/>
  <c r="T38" i="1" s="1"/>
  <c r="W38" i="1"/>
  <c r="U38" i="1"/>
  <c r="N38" i="1"/>
  <c r="V38" i="1" s="1"/>
  <c r="P37" i="1"/>
  <c r="X37" i="1" s="1"/>
  <c r="W37" i="1"/>
  <c r="U37" i="1"/>
  <c r="K37" i="1"/>
  <c r="S37" i="1" s="1"/>
  <c r="N37" i="1"/>
  <c r="V37" i="1" s="1"/>
  <c r="J37" i="1"/>
  <c r="R37" i="1" s="1"/>
  <c r="L37" i="1"/>
  <c r="T37" i="1" s="1"/>
  <c r="J15" i="1"/>
  <c r="R15" i="1" s="1"/>
  <c r="K15" i="1"/>
  <c r="S15" i="1" s="1"/>
</calcChain>
</file>

<file path=xl/sharedStrings.xml><?xml version="1.0" encoding="utf-8"?>
<sst xmlns="http://schemas.openxmlformats.org/spreadsheetml/2006/main" count="79" uniqueCount="38">
  <si>
    <t>Proration Method</t>
  </si>
  <si>
    <t>Days</t>
  </si>
  <si>
    <t>Weeks Down</t>
  </si>
  <si>
    <t>Weeks Up</t>
  </si>
  <si>
    <t>Months Round</t>
  </si>
  <si>
    <t>Months Up</t>
  </si>
  <si>
    <t>Months Down</t>
  </si>
  <si>
    <t>360 Days</t>
  </si>
  <si>
    <t>Plan Year Start</t>
  </si>
  <si>
    <t>Plan Year End</t>
  </si>
  <si>
    <t>EE Bonus Start</t>
  </si>
  <si>
    <t>EE Bonus End</t>
  </si>
  <si>
    <t>SALARY PRORATION</t>
  </si>
  <si>
    <t>INCENTIVE PRORATION</t>
  </si>
  <si>
    <t>Proration %</t>
  </si>
  <si>
    <t>denominator (plan yr)</t>
  </si>
  <si>
    <t>numerator (EE time)</t>
  </si>
  <si>
    <t>Last Salary Eff Date</t>
  </si>
  <si>
    <t>New Salary Eff Date</t>
  </si>
  <si>
    <t>Salary Plan Period</t>
  </si>
  <si>
    <t>Cycle Salary Eff Date - 1yr</t>
  </si>
  <si>
    <t>Cycle Salary Eff Date</t>
  </si>
  <si>
    <t>April</t>
  </si>
  <si>
    <t>May</t>
  </si>
  <si>
    <t>June</t>
  </si>
  <si>
    <t>January</t>
  </si>
  <si>
    <t>February</t>
  </si>
  <si>
    <t>March</t>
  </si>
  <si>
    <t>July</t>
  </si>
  <si>
    <t>August</t>
  </si>
  <si>
    <t>September</t>
  </si>
  <si>
    <t>October</t>
  </si>
  <si>
    <t>November</t>
  </si>
  <si>
    <t>December</t>
  </si>
  <si>
    <t>Months Rnd</t>
  </si>
  <si>
    <t>Weeks Dwn</t>
  </si>
  <si>
    <t>Months Dwn</t>
  </si>
  <si>
    <t>Months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</si>
</sst>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%"/>
    <numFmt numFmtId="165" formatCode="0.00000%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2" fillId="2" borderId="0" xfId="0" applyNumberFormat="1" applyFont="1" applyFill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4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4" fillId="3" borderId="0" xfId="0" applyFont="1" applyFill="1"/>
    <xf numFmtId="165" fontId="5" fillId="0" borderId="0" xfId="1" applyNumberFormat="1" applyFont="1"/>
    <xf numFmtId="0" fontId="2" fillId="4" borderId="0" xfId="0" applyFont="1" applyFill="1"/>
    <xf numFmtId="0" fontId="0" fillId="4" borderId="0" xfId="0" applyFill="1"/>
    <xf numFmtId="0" fontId="2" fillId="2" borderId="0" xfId="0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165" fontId="5" fillId="5" borderId="0" xfId="1" applyNumberFormat="1" applyFont="1" applyFill="1"/>
    <xf numFmtId="0" fontId="0" fillId="0" borderId="0" xfId="0" applyAlignment="1">
      <alignment horizontal="center" wrapText="1"/>
    </xf>
    <xf numFmtId="0" fontId="4" fillId="6" borderId="0" xfId="0" applyFont="1" applyFill="1" applyAlignment="1">
      <alignment horizontal="center"/>
    </xf>
    <xf numFmtId="0" fontId="7" fillId="5" borderId="0" xfId="0" applyFont="1" applyFill="1" applyAlignment="1">
      <alignment horizontal="right"/>
    </xf>
    <xf numFmtId="0" fontId="2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139411</xdr:colOff>
      <xdr:row>0</xdr:row>
      <xdr:rowOff>69274</xdr:rowOff>
    </xdr:from>
    <xdr:to>
      <xdr:col>20</xdr:col>
      <xdr:colOff>13422</xdr:colOff>
      <xdr:row>5</xdr:row>
      <xdr:rowOff>82696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EDB062-B920-1174-C52E-3AABD0FC8ADC}"/>
            </a:ext>
          </a:extLst>
        </xdr:cNvPr>
        <xdr:cNvSpPr txBox="1"/>
      </xdr:nvSpPr>
      <xdr:spPr>
        <a:xfrm>
          <a:off x="10712161" y="69274"/>
          <a:ext cx="6108556" cy="10092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NOTE, for Salary calcs the end date (New Sal Eff Date) is NOT included as it represents the new pay rate starting, therefore</a:t>
          </a:r>
          <a:r>
            <a:rPr lang="en-US" sz="1100" kern="1200" baseline="0"/>
            <a:t> the old rate ended the day before.</a:t>
          </a:r>
        </a:p>
        <a:p>
          <a:r>
            <a:rPr lang="en-US" sz="1100" kern="1200" baseline="0"/>
            <a:t>For Bonus Calcs, the end date (Bonus To) IS included as it is part of the period of the Bonus.</a:t>
          </a:r>
        </a:p>
        <a:p>
          <a:endParaRPr lang="en-US" sz="1100" kern="1200" baseline="0"/>
        </a:p>
        <a:p>
          <a:r>
            <a:rPr lang="en-US" sz="1100" kern="1200" baseline="0"/>
            <a:t>This will result in a 1 day diff between Salary Calcs and Bonus Calcs using the same date ranges.</a:t>
          </a:r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7D27-5B96-6D4A-9F58-E496FFD885DE}">
  <dimension ref="A4:X54"/>
  <sheetViews>
    <sheetView tabSelected="1" topLeftCell="A4" zoomScale="110" zoomScaleNormal="110" workbookViewId="0">
      <selection activeCell="I24" sqref="I24:I25"/>
    </sheetView>
  </sheetViews>
  <sheetFormatPr defaultColWidth="11" defaultRowHeight="15.75" x14ac:dyDescent="0.5"/>
  <cols>
    <col min="1" max="1" width="20.8125" bestFit="1" customWidth="1"/>
    <col min="2" max="2" width="21.8125" bestFit="1" customWidth="1"/>
    <col min="3" max="4" width="17" bestFit="1" customWidth="1"/>
    <col min="5" max="5" width="17.5" bestFit="1" customWidth="1"/>
    <col min="6" max="6" width="14.5" bestFit="1" customWidth="1"/>
    <col min="7" max="7" width="4.375" customWidth="1"/>
    <col min="8" max="8" width="12.0625" bestFit="1" customWidth="1"/>
    <col min="9" max="9" width="12.1875" bestFit="1" customWidth="1"/>
    <col min="10" max="12" width="7.5625" customWidth="1"/>
    <col min="13" max="13" width="8.3125" customWidth="1"/>
    <col min="14" max="14" width="7.5625" customWidth="1"/>
    <col min="15" max="15" width="7.3125" customWidth="1"/>
    <col min="16" max="16" width="7.5625" customWidth="1"/>
    <col min="17" max="17" width="2.375" customWidth="1"/>
    <col min="18" max="24" width="9.4375" bestFit="1" customWidth="1"/>
  </cols>
  <sheetData>
    <row r="4" spans="1:24" x14ac:dyDescent="0.5">
      <c r="A4" s="13" t="s">
        <v>12</v>
      </c>
      <c r="B4" t="s">
        <v>20</v>
      </c>
      <c r="C4" t="s">
        <v>21</v>
      </c>
      <c r="I4" s="15">
        <v>2023</v>
      </c>
    </row>
    <row r="5" spans="1:24" x14ac:dyDescent="0.5">
      <c r="A5" t="s">
        <v>19</v>
      </c>
      <c r="B5" s="4">
        <f>DATE(YEAR(C5)-1,MONTH(C5),DAY(C5))</f>
        <v>45017</v>
      </c>
      <c r="C5" s="6">
        <v>45383</v>
      </c>
      <c r="E5" s="7"/>
      <c r="I5" s="15">
        <v>4</v>
      </c>
    </row>
    <row r="7" spans="1:24" x14ac:dyDescent="0.5">
      <c r="A7" t="s">
        <v>0</v>
      </c>
      <c r="B7" t="s">
        <v>15</v>
      </c>
      <c r="C7" t="s">
        <v>17</v>
      </c>
      <c r="D7" t="s">
        <v>18</v>
      </c>
      <c r="E7" t="s">
        <v>16</v>
      </c>
      <c r="F7" t="s">
        <v>14</v>
      </c>
      <c r="H7" s="11" t="s">
        <v>17</v>
      </c>
      <c r="I7" s="11" t="s">
        <v>18</v>
      </c>
      <c r="J7" s="9" t="s">
        <v>1</v>
      </c>
      <c r="K7" s="9" t="s">
        <v>35</v>
      </c>
      <c r="L7" s="9" t="s">
        <v>3</v>
      </c>
      <c r="M7" s="21" t="s">
        <v>34</v>
      </c>
      <c r="N7" s="9" t="s">
        <v>5</v>
      </c>
      <c r="O7" s="21" t="s">
        <v>36</v>
      </c>
      <c r="P7" s="9" t="s">
        <v>7</v>
      </c>
      <c r="R7" s="9" t="s">
        <v>1</v>
      </c>
      <c r="S7" s="9" t="s">
        <v>35</v>
      </c>
      <c r="T7" s="9" t="s">
        <v>3</v>
      </c>
      <c r="U7" s="9" t="s">
        <v>34</v>
      </c>
      <c r="V7" s="9" t="s">
        <v>5</v>
      </c>
      <c r="W7" s="9" t="s">
        <v>36</v>
      </c>
      <c r="X7" s="9" t="s">
        <v>7</v>
      </c>
    </row>
    <row r="8" spans="1:24" x14ac:dyDescent="0.5">
      <c r="A8" t="s">
        <v>1</v>
      </c>
      <c r="B8" s="5">
        <f>_xlfn.DAYS(C5,B5)</f>
        <v>366</v>
      </c>
      <c r="C8" s="4">
        <f>$B$5</f>
        <v>45017</v>
      </c>
      <c r="D8" s="4">
        <f>$C$5</f>
        <v>45383</v>
      </c>
      <c r="E8" s="3">
        <f>_xlfn.DAYS(D8,C8)</f>
        <v>366</v>
      </c>
      <c r="F8" s="2">
        <f t="shared" ref="F8:F14" si="0">E8/B8</f>
        <v>1</v>
      </c>
      <c r="H8" s="4">
        <f>$B$5</f>
        <v>45017</v>
      </c>
      <c r="I8" s="4">
        <f>DATE($I$4,$I$5,1)</f>
        <v>45017</v>
      </c>
      <c r="J8" s="3">
        <f>_xlfn.DAYS(I8,H8)</f>
        <v>0</v>
      </c>
      <c r="K8" s="3">
        <f>ROUNDDOWN(_xlfn.DAYS(I8,H8)/7,0)</f>
        <v>0</v>
      </c>
      <c r="L8" s="3">
        <f>ROUNDUP(_xlfn.DAYS(I8,H8)/7,0)</f>
        <v>0</v>
      </c>
      <c r="M8" s="3">
        <f t="shared" ref="M8:M10" si="1">IFERROR(IF(AND(MONTH(H8)=MONTH(I8),YEAR(H8)=YEAR(I8),I8-H8&gt;0),IF(I8-H8&lt;DAY(EOMONTH(H8,0))/2,0,1),
DATEDIF(EOMONTH(H8,0),EOMONTH(I8,-1)+1,"M") +
(IF(DAY(H8)&lt;=DAY(EOMONTH(H8,0))/2,1,0)) +
(IF(DAY(I8)&gt;DAY(EOMONTH(I8,0))/2,1,0))),0)</f>
        <v>0</v>
      </c>
      <c r="N8" s="3">
        <f>(YEAR(I8-1)-YEAR(H8))*12+MONTH(I8-1)+1-MONTH(H8)</f>
        <v>0</v>
      </c>
      <c r="O8" s="3">
        <f t="shared" ref="O8:O25" si="2">IFERROR(IF(AND(MONTH(H8)=MONTH(I8),YEAR(H8)=YEAR(I8),I8-H8&gt;0),IF(I8-H8&gt;=DAY(EOMONTH(H8,0)),1,0),
DATEDIF(EOMONTH(H8,0),EOMONTH(I8,-1)+1,"M") +
(IF(DAY(H8)&lt;=DAY(EOMONTH(H8,0))/2,1,0)) +
(IF(DAY(I8)&gt;DAY(EOMONTH(I8,0))/2,1,0))),0)</f>
        <v>0</v>
      </c>
      <c r="P8" s="3">
        <f>DAYS360(H8,I8)</f>
        <v>0</v>
      </c>
      <c r="R8" s="12">
        <f t="shared" ref="R8:R15" si="3">J8/$B$8</f>
        <v>0</v>
      </c>
      <c r="S8" s="12">
        <f>K8/$B$9</f>
        <v>0</v>
      </c>
      <c r="T8" s="12">
        <f>L8/$B$10</f>
        <v>0</v>
      </c>
      <c r="U8" s="12">
        <f>M8/$B$12</f>
        <v>0</v>
      </c>
      <c r="V8" s="12">
        <f>N8/$B$11</f>
        <v>0</v>
      </c>
      <c r="W8" s="12">
        <f>O8/$B$13</f>
        <v>0</v>
      </c>
      <c r="X8" s="12">
        <f>P8/$B$14</f>
        <v>0</v>
      </c>
    </row>
    <row r="9" spans="1:24" x14ac:dyDescent="0.5">
      <c r="A9" t="s">
        <v>2</v>
      </c>
      <c r="B9" s="3">
        <f>ROUNDDOWN(_xlfn.DAYS(C5+1,B5)/7,0)</f>
        <v>52</v>
      </c>
      <c r="C9" s="4">
        <f t="shared" ref="C9:C14" si="4">$B$5</f>
        <v>45017</v>
      </c>
      <c r="D9" s="4">
        <f>$C$5</f>
        <v>45383</v>
      </c>
      <c r="E9" s="3">
        <f>ROUNDDOWN(_xlfn.DAYS(D9,C9)/7,0)</f>
        <v>52</v>
      </c>
      <c r="F9" s="2">
        <f t="shared" si="0"/>
        <v>1</v>
      </c>
      <c r="H9" s="4">
        <f>$B$5</f>
        <v>45017</v>
      </c>
      <c r="I9" s="4">
        <f>DATE($I$4,$I$5,2)</f>
        <v>45018</v>
      </c>
      <c r="J9" s="3">
        <f>_xlfn.DAYS(I9,H9)</f>
        <v>1</v>
      </c>
      <c r="K9" s="3">
        <f>ROUNDDOWN(_xlfn.DAYS(I9,H9)/7,0)</f>
        <v>0</v>
      </c>
      <c r="L9" s="3">
        <f>ROUNDUP(_xlfn.DAYS(I9,H9)/7,0)</f>
        <v>1</v>
      </c>
      <c r="M9" s="3">
        <f t="shared" si="1"/>
        <v>0</v>
      </c>
      <c r="N9" s="3">
        <f>(YEAR(I9-1)-YEAR(H9))*12+MONTH(I9-1)+1-MONTH(H9)</f>
        <v>1</v>
      </c>
      <c r="O9" s="3">
        <f t="shared" si="2"/>
        <v>0</v>
      </c>
      <c r="P9" s="3">
        <f>DAYS360(H9,I9)</f>
        <v>1</v>
      </c>
      <c r="R9" s="12">
        <f t="shared" ref="R9" si="5">J9/$B$8</f>
        <v>2.7322404371584699E-3</v>
      </c>
      <c r="S9" s="12">
        <f>K9/$B$9</f>
        <v>0</v>
      </c>
      <c r="T9" s="12">
        <f>L9/$B$10</f>
        <v>1.8867924528301886E-2</v>
      </c>
      <c r="U9" s="12">
        <f>M9/$B$12</f>
        <v>0</v>
      </c>
      <c r="V9" s="12">
        <f>N9/$B$11</f>
        <v>8.3333333333333329E-2</v>
      </c>
      <c r="W9" s="12">
        <f>O9/$B$13</f>
        <v>0</v>
      </c>
      <c r="X9" s="12">
        <f>P9/$B$14</f>
        <v>2.7777777777777779E-3</v>
      </c>
    </row>
    <row r="10" spans="1:24" x14ac:dyDescent="0.5">
      <c r="A10" t="s">
        <v>3</v>
      </c>
      <c r="B10" s="3">
        <f>ROUNDUP(_xlfn.DAYS(C5+1,B5)/7,0)</f>
        <v>53</v>
      </c>
      <c r="C10" s="4">
        <f t="shared" si="4"/>
        <v>45017</v>
      </c>
      <c r="D10" s="4">
        <f t="shared" ref="D10:D14" si="6">$C$5</f>
        <v>45383</v>
      </c>
      <c r="E10" s="3">
        <f>ROUNDUP(_xlfn.DAYS(D10,C10)/7,0)</f>
        <v>53</v>
      </c>
      <c r="F10" s="2">
        <f t="shared" si="0"/>
        <v>1</v>
      </c>
      <c r="H10" s="4">
        <f>$H$8</f>
        <v>45017</v>
      </c>
      <c r="I10" s="4">
        <f>DATE($I$4,$I$5,14)</f>
        <v>45030</v>
      </c>
      <c r="J10" s="3">
        <f t="shared" ref="J10:J15" si="7">_xlfn.DAYS(I10,H10)</f>
        <v>13</v>
      </c>
      <c r="K10" s="3">
        <f>ROUNDDOWN(_xlfn.DAYS(I10,H10)/7,0)</f>
        <v>1</v>
      </c>
      <c r="L10" s="3">
        <f t="shared" ref="L10" si="8">ROUNDUP(_xlfn.DAYS(I10,H10)/7,0)</f>
        <v>2</v>
      </c>
      <c r="M10" s="3">
        <f t="shared" si="1"/>
        <v>0</v>
      </c>
      <c r="N10" s="3">
        <f t="shared" ref="N10:N25" si="9">(YEAR(I10-1)-YEAR(H10))*12+MONTH(I10-1)+1-MONTH(H10)</f>
        <v>1</v>
      </c>
      <c r="O10" s="3">
        <f t="shared" si="2"/>
        <v>0</v>
      </c>
      <c r="P10" s="3">
        <f t="shared" ref="P10:P14" si="10">DAYS360(H10,I10)</f>
        <v>13</v>
      </c>
      <c r="R10" s="12">
        <f t="shared" si="3"/>
        <v>3.5519125683060107E-2</v>
      </c>
      <c r="S10" s="12">
        <f t="shared" ref="S10:S15" si="11">K10/$B$9</f>
        <v>1.9230769230769232E-2</v>
      </c>
      <c r="T10" s="12">
        <f t="shared" ref="T10:T15" si="12">L10/$B$10</f>
        <v>3.7735849056603772E-2</v>
      </c>
      <c r="U10" s="12">
        <f t="shared" ref="U10:U15" si="13">M10/$B$12</f>
        <v>0</v>
      </c>
      <c r="V10" s="12">
        <f t="shared" ref="V10:V15" si="14">N10/$B$11</f>
        <v>8.3333333333333329E-2</v>
      </c>
      <c r="W10" s="12">
        <f t="shared" ref="W10:W15" si="15">O10/$B$13</f>
        <v>0</v>
      </c>
      <c r="X10" s="12">
        <f t="shared" ref="X10:X15" si="16">P10/$B$14</f>
        <v>3.6111111111111108E-2</v>
      </c>
    </row>
    <row r="11" spans="1:24" x14ac:dyDescent="0.5">
      <c r="A11" t="s">
        <v>4</v>
      </c>
      <c r="B11" s="3">
        <f>DATEDIF(EOMONTH(B5,0),EOMONTH(C5,-1)+1,"M") +
(IF(DAY(B5)&lt;=DAY(EOMONTH(B5,0))/2,1,0)) +
(IF(DAY(C5)&gt;DAY(EOMONTH(C5,0))/2,1,0))</f>
        <v>12</v>
      </c>
      <c r="C11" s="4">
        <f t="shared" si="4"/>
        <v>45017</v>
      </c>
      <c r="D11" s="4">
        <f t="shared" si="6"/>
        <v>45383</v>
      </c>
      <c r="E11" s="5">
        <f>IFERROR(IF(AND(MONTH(C11)=MONTH(D11),YEAR(C11)=YEAR(D11),D11-C11&gt;0),IF(D11-C11+1&lt;DAY(EOMONTH(C11,0))/2,0,1),
DATEDIF(EOMONTH(C11,0),EOMONTH(D11,-1)+1,"M") +
(IF(DAY(D11)&lt;=DAY(EOMONTH(D11,0))/2,1,0)) +
(IF(DAY(C11)&gt;DAY(EOMONTH(C11,0))/2,1,0))),0)</f>
        <v>12</v>
      </c>
      <c r="F11" s="2">
        <f t="shared" si="0"/>
        <v>1</v>
      </c>
      <c r="H11" s="4">
        <f t="shared" ref="H11:H16" si="17">$H$8</f>
        <v>45017</v>
      </c>
      <c r="I11" s="4">
        <f>DATE($I$4,$I$5,15)</f>
        <v>45031</v>
      </c>
      <c r="J11" s="3">
        <f t="shared" si="7"/>
        <v>14</v>
      </c>
      <c r="K11" s="3">
        <f t="shared" ref="K11:K15" si="18">ROUNDDOWN(_xlfn.DAYS(I11,H11)/7,0)</f>
        <v>2</v>
      </c>
      <c r="L11" s="3">
        <f>ROUNDUP(_xlfn.DAYS(I11,H11)/7,0)</f>
        <v>2</v>
      </c>
      <c r="M11" s="3">
        <f>IFERROR(IF(AND(MONTH(H11)=MONTH(I11),YEAR(H11)=YEAR(I11),I11-H11&gt;0),IF(I11-H11&lt;DAY(EOMONTH(H11,0))/2,0,1),
DATEDIF(EOMONTH(H11,0),EOMONTH(I11,-1)+1,"M") +
(IF(DAY(H11)&lt;=DAY(EOMONTH(H11,0))/2,1,0)) +
(IF(DAY(I11)&gt;DAY(EOMONTH(I11,0))/2,1,0))),0)</f>
        <v>0</v>
      </c>
      <c r="N11" s="3">
        <f t="shared" si="9"/>
        <v>1</v>
      </c>
      <c r="O11" s="3">
        <f t="shared" si="2"/>
        <v>0</v>
      </c>
      <c r="P11" s="3">
        <f t="shared" si="10"/>
        <v>14</v>
      </c>
      <c r="R11" s="12">
        <f t="shared" si="3"/>
        <v>3.825136612021858E-2</v>
      </c>
      <c r="S11" s="12">
        <f t="shared" si="11"/>
        <v>3.8461538461538464E-2</v>
      </c>
      <c r="T11" s="12">
        <f t="shared" si="12"/>
        <v>3.7735849056603772E-2</v>
      </c>
      <c r="U11" s="12">
        <f t="shared" si="13"/>
        <v>0</v>
      </c>
      <c r="V11" s="12">
        <f t="shared" si="14"/>
        <v>8.3333333333333329E-2</v>
      </c>
      <c r="W11" s="12">
        <f t="shared" si="15"/>
        <v>0</v>
      </c>
      <c r="X11" s="12">
        <f t="shared" si="16"/>
        <v>3.888888888888889E-2</v>
      </c>
    </row>
    <row r="12" spans="1:24" x14ac:dyDescent="0.5">
      <c r="A12" t="s">
        <v>5</v>
      </c>
      <c r="B12" s="3">
        <f>(YEAR(C5)-YEAR(B5))*12+MONTH(C5)-MONTH(B5)</f>
        <v>12</v>
      </c>
      <c r="C12" s="4">
        <f t="shared" si="4"/>
        <v>45017</v>
      </c>
      <c r="D12" s="4">
        <f t="shared" si="6"/>
        <v>45383</v>
      </c>
      <c r="E12" s="3">
        <f>(YEAR(D12)-YEAR(C12))*12+MONTH(D12)-MONTH(C12)</f>
        <v>12</v>
      </c>
      <c r="F12" s="2">
        <f t="shared" si="0"/>
        <v>1</v>
      </c>
      <c r="H12" s="4">
        <f t="shared" si="17"/>
        <v>45017</v>
      </c>
      <c r="I12" s="4">
        <f>DATE($I$4,$I$5,16)</f>
        <v>45032</v>
      </c>
      <c r="J12" s="3">
        <f t="shared" si="7"/>
        <v>15</v>
      </c>
      <c r="K12" s="3">
        <f t="shared" si="18"/>
        <v>2</v>
      </c>
      <c r="L12" s="3">
        <f t="shared" ref="L12:L15" si="19">ROUNDUP(_xlfn.DAYS(I12,H12)/7,0)</f>
        <v>3</v>
      </c>
      <c r="M12" s="3">
        <f t="shared" ref="M12:M25" si="20">IFERROR(IF(AND(MONTH(H12)=MONTH(I12),YEAR(H12)=YEAR(I12),I12-H12&gt;0),IF(I12-H12&lt;DAY(EOMONTH(H12,0))/2,0,1),
DATEDIF(EOMONTH(H12,0),EOMONTH(I12,-1)+1,"M") +
(IF(DAY(H12)&lt;=DAY(EOMONTH(H12,0))/2,1,0)) +
(IF(DAY(I12)&gt;DAY(EOMONTH(I12,0))/2,1,0))),0)</f>
        <v>1</v>
      </c>
      <c r="N12" s="3">
        <f t="shared" si="9"/>
        <v>1</v>
      </c>
      <c r="O12" s="3">
        <f t="shared" si="2"/>
        <v>0</v>
      </c>
      <c r="P12" s="3">
        <f t="shared" si="10"/>
        <v>15</v>
      </c>
      <c r="R12" s="12">
        <f t="shared" si="3"/>
        <v>4.0983606557377046E-2</v>
      </c>
      <c r="S12" s="12">
        <f t="shared" si="11"/>
        <v>3.8461538461538464E-2</v>
      </c>
      <c r="T12" s="12">
        <f t="shared" si="12"/>
        <v>5.6603773584905662E-2</v>
      </c>
      <c r="U12" s="12">
        <f t="shared" si="13"/>
        <v>8.3333333333333329E-2</v>
      </c>
      <c r="V12" s="12">
        <f t="shared" si="14"/>
        <v>8.3333333333333329E-2</v>
      </c>
      <c r="W12" s="12">
        <f t="shared" si="15"/>
        <v>0</v>
      </c>
      <c r="X12" s="12">
        <f t="shared" si="16"/>
        <v>4.1666666666666664E-2</v>
      </c>
    </row>
    <row r="13" spans="1:24" x14ac:dyDescent="0.5">
      <c r="A13" t="s">
        <v>6</v>
      </c>
      <c r="B13" s="3">
        <f>DATEDIF(EOMONTH(B5,0),EOMONTH(C5,-1)+1,"M")+
(IF(DAY(B5)=1,1,0)) +
(IF(DAY(C5)=DAY(EOMONTH(C5,0)),1,0))</f>
        <v>12</v>
      </c>
      <c r="C13" s="4">
        <f t="shared" si="4"/>
        <v>45017</v>
      </c>
      <c r="D13" s="4">
        <f t="shared" si="6"/>
        <v>45383</v>
      </c>
      <c r="E13" s="3">
        <f>IFERROR(IF(AND(MONTH(C13)=MONTH(D13),YEAR(C13)=YEAR(D13),D13-C13&gt;0),IF(D13-C13+1&gt;=DAY(EOMONTH(C13,0)),1,0),
DATEDIF(EOMONTH(C13,0),EOMONTH(D13,-1)+1,"M")+
(IF(DAY(C13)=1,1,0)) +
(IF(DAY(D13)=DAY(EOMONTH(D13,0)),1,0))),0)</f>
        <v>12</v>
      </c>
      <c r="F13" s="2">
        <f t="shared" si="0"/>
        <v>1</v>
      </c>
      <c r="H13" s="4">
        <f t="shared" si="17"/>
        <v>45017</v>
      </c>
      <c r="I13" s="4">
        <f>DATE($I$4,$I$5,DAY(EOMONTH(I8,0))-1)</f>
        <v>45045</v>
      </c>
      <c r="J13" s="3">
        <f t="shared" si="7"/>
        <v>28</v>
      </c>
      <c r="K13" s="3">
        <f t="shared" si="18"/>
        <v>4</v>
      </c>
      <c r="L13" s="3">
        <f t="shared" si="19"/>
        <v>4</v>
      </c>
      <c r="M13" s="3">
        <f t="shared" si="20"/>
        <v>1</v>
      </c>
      <c r="N13" s="3">
        <f t="shared" si="9"/>
        <v>1</v>
      </c>
      <c r="O13" s="3">
        <f t="shared" si="2"/>
        <v>0</v>
      </c>
      <c r="P13" s="3">
        <f t="shared" si="10"/>
        <v>28</v>
      </c>
      <c r="R13" s="12">
        <f t="shared" si="3"/>
        <v>7.650273224043716E-2</v>
      </c>
      <c r="S13" s="12">
        <f t="shared" si="11"/>
        <v>7.6923076923076927E-2</v>
      </c>
      <c r="T13" s="12">
        <f t="shared" si="12"/>
        <v>7.5471698113207544E-2</v>
      </c>
      <c r="U13" s="12">
        <f t="shared" si="13"/>
        <v>8.3333333333333329E-2</v>
      </c>
      <c r="V13" s="12">
        <f t="shared" si="14"/>
        <v>8.3333333333333329E-2</v>
      </c>
      <c r="W13" s="12">
        <f t="shared" si="15"/>
        <v>0</v>
      </c>
      <c r="X13" s="12">
        <f t="shared" si="16"/>
        <v>7.7777777777777779E-2</v>
      </c>
    </row>
    <row r="14" spans="1:24" x14ac:dyDescent="0.5">
      <c r="A14" t="s">
        <v>7</v>
      </c>
      <c r="B14" s="3">
        <v>360</v>
      </c>
      <c r="C14" s="4">
        <f t="shared" si="4"/>
        <v>45017</v>
      </c>
      <c r="D14" s="4">
        <f t="shared" si="6"/>
        <v>45383</v>
      </c>
      <c r="E14" s="3">
        <f>DAYS360(C14,D14)</f>
        <v>360</v>
      </c>
      <c r="F14" s="2">
        <f t="shared" si="0"/>
        <v>1</v>
      </c>
      <c r="H14" s="4">
        <f t="shared" si="17"/>
        <v>45017</v>
      </c>
      <c r="I14" s="4">
        <f>DATE($I$4,$I$5,DAY(EOMONTH(I8,0)))</f>
        <v>45046</v>
      </c>
      <c r="J14" s="3">
        <f t="shared" si="7"/>
        <v>29</v>
      </c>
      <c r="K14" s="3">
        <f t="shared" si="18"/>
        <v>4</v>
      </c>
      <c r="L14" s="3">
        <f t="shared" si="19"/>
        <v>5</v>
      </c>
      <c r="M14" s="3">
        <f t="shared" si="20"/>
        <v>1</v>
      </c>
      <c r="N14" s="3">
        <f t="shared" si="9"/>
        <v>1</v>
      </c>
      <c r="O14" s="3">
        <f t="shared" si="2"/>
        <v>0</v>
      </c>
      <c r="P14" s="3">
        <f t="shared" si="10"/>
        <v>29</v>
      </c>
      <c r="R14" s="12">
        <f t="shared" si="3"/>
        <v>7.9234972677595633E-2</v>
      </c>
      <c r="S14" s="12">
        <f t="shared" si="11"/>
        <v>7.6923076923076927E-2</v>
      </c>
      <c r="T14" s="12">
        <f t="shared" si="12"/>
        <v>9.4339622641509441E-2</v>
      </c>
      <c r="U14" s="12">
        <f t="shared" si="13"/>
        <v>8.3333333333333329E-2</v>
      </c>
      <c r="V14" s="12">
        <f t="shared" si="14"/>
        <v>8.3333333333333329E-2</v>
      </c>
      <c r="W14" s="12">
        <f t="shared" si="15"/>
        <v>0</v>
      </c>
      <c r="X14" s="12">
        <f t="shared" si="16"/>
        <v>8.0555555555555561E-2</v>
      </c>
    </row>
    <row r="15" spans="1:24" x14ac:dyDescent="0.5">
      <c r="H15" s="4">
        <f t="shared" si="17"/>
        <v>45017</v>
      </c>
      <c r="I15" s="4">
        <f>DATE($I$4,$I$5+1,1)</f>
        <v>45047</v>
      </c>
      <c r="J15" s="3">
        <f t="shared" si="7"/>
        <v>30</v>
      </c>
      <c r="K15" s="3">
        <f t="shared" si="18"/>
        <v>4</v>
      </c>
      <c r="L15" s="3">
        <f t="shared" si="19"/>
        <v>5</v>
      </c>
      <c r="M15" s="3">
        <f t="shared" si="20"/>
        <v>1</v>
      </c>
      <c r="N15" s="3">
        <f t="shared" si="9"/>
        <v>1</v>
      </c>
      <c r="O15" s="3">
        <f t="shared" si="2"/>
        <v>1</v>
      </c>
      <c r="P15" s="3">
        <f>DAYS360(H15,I15)</f>
        <v>30</v>
      </c>
      <c r="R15" s="12">
        <f t="shared" si="3"/>
        <v>8.1967213114754092E-2</v>
      </c>
      <c r="S15" s="12">
        <f t="shared" si="11"/>
        <v>7.6923076923076927E-2</v>
      </c>
      <c r="T15" s="12">
        <f t="shared" si="12"/>
        <v>9.4339622641509441E-2</v>
      </c>
      <c r="U15" s="12">
        <f t="shared" si="13"/>
        <v>8.3333333333333329E-2</v>
      </c>
      <c r="V15" s="12">
        <f t="shared" si="14"/>
        <v>8.3333333333333329E-2</v>
      </c>
      <c r="W15" s="12">
        <f t="shared" si="15"/>
        <v>8.3333333333333329E-2</v>
      </c>
      <c r="X15" s="12">
        <f t="shared" si="16"/>
        <v>8.3333333333333329E-2</v>
      </c>
    </row>
    <row r="16" spans="1:24" x14ac:dyDescent="0.5">
      <c r="F16" s="22" t="s">
        <v>37</v>
      </c>
      <c r="G16" s="23">
        <v>3</v>
      </c>
      <c r="H16" s="4">
        <f t="shared" si="17"/>
        <v>45017</v>
      </c>
      <c r="I16" s="4">
        <f>DATE($I$4,$I$5+1,2)</f>
        <v>45048</v>
      </c>
      <c r="J16" s="3">
        <f t="shared" ref="J16" si="21">_xlfn.DAYS(I16,H16)</f>
        <v>31</v>
      </c>
      <c r="K16" s="3">
        <f t="shared" ref="K16" si="22">ROUNDDOWN(_xlfn.DAYS(I16,H16)/7,0)</f>
        <v>4</v>
      </c>
      <c r="L16" s="3">
        <f t="shared" ref="L16" si="23">ROUNDUP(_xlfn.DAYS(I16,H16)/7,0)</f>
        <v>5</v>
      </c>
      <c r="M16" s="3">
        <f t="shared" si="20"/>
        <v>1</v>
      </c>
      <c r="N16" s="3">
        <f t="shared" si="9"/>
        <v>2</v>
      </c>
      <c r="O16" s="3">
        <f t="shared" si="2"/>
        <v>1</v>
      </c>
      <c r="P16" s="3">
        <f>DAYS360(H16,I16)</f>
        <v>31</v>
      </c>
      <c r="R16" s="12">
        <f t="shared" ref="R16" si="24">J16/$B$8</f>
        <v>8.4699453551912565E-2</v>
      </c>
      <c r="S16" s="12">
        <f t="shared" ref="S16" si="25">K16/$B$9</f>
        <v>7.6923076923076927E-2</v>
      </c>
      <c r="T16" s="12">
        <f t="shared" ref="T16" si="26">L16/$B$10</f>
        <v>9.4339622641509441E-2</v>
      </c>
      <c r="U16" s="12">
        <f t="shared" ref="U16" si="27">M16/$B$12</f>
        <v>8.3333333333333329E-2</v>
      </c>
      <c r="V16" s="12">
        <f t="shared" ref="V16" si="28">N16/$B$11</f>
        <v>0.16666666666666666</v>
      </c>
      <c r="W16" s="12">
        <f t="shared" ref="W16" si="29">O16/$B$13</f>
        <v>8.3333333333333329E-2</v>
      </c>
      <c r="X16" s="12">
        <f t="shared" ref="X16" si="30">P16/$B$14</f>
        <v>8.611111111111111E-2</v>
      </c>
    </row>
    <row r="17" spans="1:24" x14ac:dyDescent="0.5">
      <c r="H17" s="16">
        <f>DATE($I$4,$I$5-$G$16,1)</f>
        <v>44927</v>
      </c>
      <c r="I17" s="16">
        <f>$C$5</f>
        <v>45383</v>
      </c>
      <c r="J17" s="17">
        <f t="shared" ref="J17:J25" si="31">_xlfn.DAYS(I17,H17)</f>
        <v>456</v>
      </c>
      <c r="K17" s="17">
        <f t="shared" ref="K17:K25" si="32">ROUNDDOWN(_xlfn.DAYS(I17,H17)/7,0)</f>
        <v>65</v>
      </c>
      <c r="L17" s="17">
        <f t="shared" ref="L17:L25" si="33">ROUNDUP(_xlfn.DAYS(I17,H17)/7,0)</f>
        <v>66</v>
      </c>
      <c r="M17" s="17">
        <f t="shared" si="20"/>
        <v>15</v>
      </c>
      <c r="N17" s="17">
        <f t="shared" si="9"/>
        <v>15</v>
      </c>
      <c r="O17" s="17">
        <f t="shared" si="2"/>
        <v>15</v>
      </c>
      <c r="P17" s="17">
        <f t="shared" ref="P17:P25" si="34">DAYS360(H17,I17)</f>
        <v>450</v>
      </c>
      <c r="Q17" s="18"/>
      <c r="R17" s="19">
        <f t="shared" ref="R17:R25" si="35">J17/$B$8</f>
        <v>1.2459016393442623</v>
      </c>
      <c r="S17" s="19">
        <f t="shared" ref="S17:S25" si="36">K17/$B$9</f>
        <v>1.25</v>
      </c>
      <c r="T17" s="19">
        <f t="shared" ref="T17:T25" si="37">L17/$B$10</f>
        <v>1.2452830188679245</v>
      </c>
      <c r="U17" s="19">
        <f t="shared" ref="U17:U25" si="38">M17/$B$12</f>
        <v>1.25</v>
      </c>
      <c r="V17" s="19">
        <f t="shared" ref="V17:V25" si="39">N17/$B$11</f>
        <v>1.25</v>
      </c>
      <c r="W17" s="19">
        <f t="shared" ref="W17:W25" si="40">O17/$B$13</f>
        <v>1.25</v>
      </c>
      <c r="X17" s="19">
        <f t="shared" ref="X17:X25" si="41">P17/$B$14</f>
        <v>1.25</v>
      </c>
    </row>
    <row r="18" spans="1:24" x14ac:dyDescent="0.5">
      <c r="H18" s="16">
        <f>DATE($I$4,$I$5-$G$16,2)</f>
        <v>44928</v>
      </c>
      <c r="I18" s="16">
        <f>$C$5</f>
        <v>45383</v>
      </c>
      <c r="J18" s="17">
        <f t="shared" ref="J18" si="42">_xlfn.DAYS(I18,H18)</f>
        <v>455</v>
      </c>
      <c r="K18" s="17">
        <f t="shared" ref="K18" si="43">ROUNDDOWN(_xlfn.DAYS(I18,H18)/7,0)</f>
        <v>65</v>
      </c>
      <c r="L18" s="17">
        <f t="shared" ref="L18" si="44">ROUNDUP(_xlfn.DAYS(I18,H18)/7,0)</f>
        <v>65</v>
      </c>
      <c r="M18" s="17">
        <f t="shared" si="20"/>
        <v>15</v>
      </c>
      <c r="N18" s="17">
        <f t="shared" ref="N18" si="45">(YEAR(I18-1)-YEAR(H18))*12+MONTH(I18-1)+1-MONTH(H18)</f>
        <v>15</v>
      </c>
      <c r="O18" s="17">
        <f t="shared" si="2"/>
        <v>15</v>
      </c>
      <c r="P18" s="17">
        <f t="shared" ref="P18" si="46">DAYS360(H18,I18)</f>
        <v>449</v>
      </c>
      <c r="Q18" s="18"/>
      <c r="R18" s="19">
        <f t="shared" ref="R18" si="47">J18/$B$8</f>
        <v>1.2431693989071038</v>
      </c>
      <c r="S18" s="19">
        <f t="shared" ref="S18" si="48">K18/$B$9</f>
        <v>1.25</v>
      </c>
      <c r="T18" s="19">
        <f t="shared" ref="T18" si="49">L18/$B$10</f>
        <v>1.2264150943396226</v>
      </c>
      <c r="U18" s="19">
        <f t="shared" ref="U18" si="50">M18/$B$12</f>
        <v>1.25</v>
      </c>
      <c r="V18" s="19">
        <f t="shared" ref="V18" si="51">N18/$B$11</f>
        <v>1.25</v>
      </c>
      <c r="W18" s="19">
        <f t="shared" ref="W18" si="52">O18/$B$13</f>
        <v>1.25</v>
      </c>
      <c r="X18" s="19">
        <f t="shared" ref="X18" si="53">P18/$B$14</f>
        <v>1.2472222222222222</v>
      </c>
    </row>
    <row r="19" spans="1:24" x14ac:dyDescent="0.5">
      <c r="H19" s="16">
        <f>DATE($I$4,$I$5-$G$16,14)</f>
        <v>44940</v>
      </c>
      <c r="I19" s="16">
        <f t="shared" ref="I19:I25" si="54">$C$5</f>
        <v>45383</v>
      </c>
      <c r="J19" s="17">
        <f t="shared" si="31"/>
        <v>443</v>
      </c>
      <c r="K19" s="17">
        <f t="shared" si="32"/>
        <v>63</v>
      </c>
      <c r="L19" s="17">
        <f t="shared" si="33"/>
        <v>64</v>
      </c>
      <c r="M19" s="17">
        <f t="shared" si="20"/>
        <v>15</v>
      </c>
      <c r="N19" s="17">
        <f t="shared" si="9"/>
        <v>15</v>
      </c>
      <c r="O19" s="17">
        <f t="shared" si="2"/>
        <v>15</v>
      </c>
      <c r="P19" s="17">
        <f t="shared" si="34"/>
        <v>437</v>
      </c>
      <c r="Q19" s="18"/>
      <c r="R19" s="19">
        <f t="shared" si="35"/>
        <v>1.2103825136612021</v>
      </c>
      <c r="S19" s="19">
        <f t="shared" si="36"/>
        <v>1.2115384615384615</v>
      </c>
      <c r="T19" s="19">
        <f t="shared" si="37"/>
        <v>1.2075471698113207</v>
      </c>
      <c r="U19" s="19">
        <f t="shared" si="38"/>
        <v>1.25</v>
      </c>
      <c r="V19" s="19">
        <f t="shared" si="39"/>
        <v>1.25</v>
      </c>
      <c r="W19" s="19">
        <f t="shared" si="40"/>
        <v>1.25</v>
      </c>
      <c r="X19" s="19">
        <f t="shared" si="41"/>
        <v>1.2138888888888888</v>
      </c>
    </row>
    <row r="20" spans="1:24" x14ac:dyDescent="0.5">
      <c r="H20" s="16">
        <f>DATE($I$4,$I$5-$G$16,15)</f>
        <v>44941</v>
      </c>
      <c r="I20" s="16">
        <f t="shared" si="54"/>
        <v>45383</v>
      </c>
      <c r="J20" s="17">
        <f t="shared" si="31"/>
        <v>442</v>
      </c>
      <c r="K20" s="17">
        <f t="shared" si="32"/>
        <v>63</v>
      </c>
      <c r="L20" s="17">
        <f t="shared" si="33"/>
        <v>64</v>
      </c>
      <c r="M20" s="17">
        <f t="shared" si="20"/>
        <v>15</v>
      </c>
      <c r="N20" s="17">
        <f t="shared" si="9"/>
        <v>15</v>
      </c>
      <c r="O20" s="17">
        <f t="shared" si="2"/>
        <v>15</v>
      </c>
      <c r="P20" s="17">
        <f t="shared" si="34"/>
        <v>436</v>
      </c>
      <c r="Q20" s="18"/>
      <c r="R20" s="19">
        <f t="shared" si="35"/>
        <v>1.2076502732240437</v>
      </c>
      <c r="S20" s="19">
        <f t="shared" si="36"/>
        <v>1.2115384615384615</v>
      </c>
      <c r="T20" s="19">
        <f t="shared" si="37"/>
        <v>1.2075471698113207</v>
      </c>
      <c r="U20" s="19">
        <f t="shared" si="38"/>
        <v>1.25</v>
      </c>
      <c r="V20" s="19">
        <f t="shared" si="39"/>
        <v>1.25</v>
      </c>
      <c r="W20" s="19">
        <f t="shared" si="40"/>
        <v>1.25</v>
      </c>
      <c r="X20" s="19">
        <f t="shared" si="41"/>
        <v>1.211111111111111</v>
      </c>
    </row>
    <row r="21" spans="1:24" x14ac:dyDescent="0.5">
      <c r="H21" s="16">
        <f>DATE($I$4,$I$5-$G$16,16)</f>
        <v>44942</v>
      </c>
      <c r="I21" s="16">
        <f t="shared" si="54"/>
        <v>45383</v>
      </c>
      <c r="J21" s="17">
        <f t="shared" si="31"/>
        <v>441</v>
      </c>
      <c r="K21" s="17">
        <f t="shared" si="32"/>
        <v>63</v>
      </c>
      <c r="L21" s="17">
        <f t="shared" si="33"/>
        <v>63</v>
      </c>
      <c r="M21" s="17">
        <f t="shared" si="20"/>
        <v>14</v>
      </c>
      <c r="N21" s="17">
        <f t="shared" si="9"/>
        <v>15</v>
      </c>
      <c r="O21" s="17">
        <f t="shared" si="2"/>
        <v>14</v>
      </c>
      <c r="P21" s="17">
        <f t="shared" si="34"/>
        <v>435</v>
      </c>
      <c r="Q21" s="18"/>
      <c r="R21" s="19">
        <f t="shared" si="35"/>
        <v>1.2049180327868851</v>
      </c>
      <c r="S21" s="19">
        <f t="shared" si="36"/>
        <v>1.2115384615384615</v>
      </c>
      <c r="T21" s="19">
        <f t="shared" si="37"/>
        <v>1.1886792452830188</v>
      </c>
      <c r="U21" s="19">
        <f t="shared" si="38"/>
        <v>1.1666666666666667</v>
      </c>
      <c r="V21" s="19">
        <f t="shared" si="39"/>
        <v>1.25</v>
      </c>
      <c r="W21" s="19">
        <f t="shared" si="40"/>
        <v>1.1666666666666667</v>
      </c>
      <c r="X21" s="19">
        <f t="shared" si="41"/>
        <v>1.2083333333333333</v>
      </c>
    </row>
    <row r="22" spans="1:24" x14ac:dyDescent="0.5">
      <c r="H22" s="16">
        <f>DATE($I$4,$I$5-$G$16,DAY(EOMONTH(H17,0))-1)</f>
        <v>44956</v>
      </c>
      <c r="I22" s="16">
        <f t="shared" si="54"/>
        <v>45383</v>
      </c>
      <c r="J22" s="17">
        <f t="shared" si="31"/>
        <v>427</v>
      </c>
      <c r="K22" s="17">
        <f t="shared" si="32"/>
        <v>61</v>
      </c>
      <c r="L22" s="17">
        <f t="shared" si="33"/>
        <v>61</v>
      </c>
      <c r="M22" s="17">
        <f t="shared" si="20"/>
        <v>14</v>
      </c>
      <c r="N22" s="17">
        <f t="shared" si="9"/>
        <v>15</v>
      </c>
      <c r="O22" s="17">
        <f t="shared" si="2"/>
        <v>14</v>
      </c>
      <c r="P22" s="17">
        <f t="shared" si="34"/>
        <v>421</v>
      </c>
      <c r="Q22" s="18"/>
      <c r="R22" s="19">
        <f t="shared" si="35"/>
        <v>1.1666666666666667</v>
      </c>
      <c r="S22" s="19">
        <f t="shared" si="36"/>
        <v>1.1730769230769231</v>
      </c>
      <c r="T22" s="19">
        <f t="shared" si="37"/>
        <v>1.1509433962264151</v>
      </c>
      <c r="U22" s="19">
        <f t="shared" si="38"/>
        <v>1.1666666666666667</v>
      </c>
      <c r="V22" s="19">
        <f t="shared" si="39"/>
        <v>1.25</v>
      </c>
      <c r="W22" s="19">
        <f t="shared" si="40"/>
        <v>1.1666666666666667</v>
      </c>
      <c r="X22" s="19">
        <f t="shared" si="41"/>
        <v>1.1694444444444445</v>
      </c>
    </row>
    <row r="23" spans="1:24" x14ac:dyDescent="0.5">
      <c r="H23" s="16">
        <f>DATE($I$4,$I$5-$G$16,DAY(EOMONTH(H17,0)))</f>
        <v>44957</v>
      </c>
      <c r="I23" s="16">
        <f t="shared" si="54"/>
        <v>45383</v>
      </c>
      <c r="J23" s="17">
        <f t="shared" si="31"/>
        <v>426</v>
      </c>
      <c r="K23" s="17">
        <f t="shared" si="32"/>
        <v>60</v>
      </c>
      <c r="L23" s="17">
        <f t="shared" si="33"/>
        <v>61</v>
      </c>
      <c r="M23" s="17">
        <f t="shared" si="20"/>
        <v>14</v>
      </c>
      <c r="N23" s="17">
        <f t="shared" si="9"/>
        <v>15</v>
      </c>
      <c r="O23" s="17">
        <f t="shared" si="2"/>
        <v>14</v>
      </c>
      <c r="P23" s="17">
        <f t="shared" si="34"/>
        <v>421</v>
      </c>
      <c r="Q23" s="18"/>
      <c r="R23" s="19">
        <f t="shared" si="35"/>
        <v>1.1639344262295082</v>
      </c>
      <c r="S23" s="19">
        <f t="shared" si="36"/>
        <v>1.1538461538461537</v>
      </c>
      <c r="T23" s="19">
        <f t="shared" si="37"/>
        <v>1.1509433962264151</v>
      </c>
      <c r="U23" s="19">
        <f t="shared" si="38"/>
        <v>1.1666666666666667</v>
      </c>
      <c r="V23" s="19">
        <f t="shared" si="39"/>
        <v>1.25</v>
      </c>
      <c r="W23" s="19">
        <f t="shared" si="40"/>
        <v>1.1666666666666667</v>
      </c>
      <c r="X23" s="19">
        <f t="shared" si="41"/>
        <v>1.1694444444444445</v>
      </c>
    </row>
    <row r="24" spans="1:24" x14ac:dyDescent="0.5">
      <c r="H24" s="16">
        <f>DATE($I$4,$I$5+1-$G$16,1)</f>
        <v>44958</v>
      </c>
      <c r="I24" s="16">
        <f t="shared" si="54"/>
        <v>45383</v>
      </c>
      <c r="J24" s="17">
        <f t="shared" si="31"/>
        <v>425</v>
      </c>
      <c r="K24" s="17">
        <f t="shared" si="32"/>
        <v>60</v>
      </c>
      <c r="L24" s="17">
        <f t="shared" si="33"/>
        <v>61</v>
      </c>
      <c r="M24" s="17">
        <f t="shared" si="20"/>
        <v>14</v>
      </c>
      <c r="N24" s="17">
        <f t="shared" si="9"/>
        <v>14</v>
      </c>
      <c r="O24" s="17">
        <f t="shared" si="2"/>
        <v>14</v>
      </c>
      <c r="P24" s="17">
        <f t="shared" si="34"/>
        <v>420</v>
      </c>
      <c r="Q24" s="18"/>
      <c r="R24" s="19">
        <f t="shared" si="35"/>
        <v>1.1612021857923498</v>
      </c>
      <c r="S24" s="19">
        <f t="shared" si="36"/>
        <v>1.1538461538461537</v>
      </c>
      <c r="T24" s="19">
        <f t="shared" si="37"/>
        <v>1.1509433962264151</v>
      </c>
      <c r="U24" s="19">
        <f t="shared" si="38"/>
        <v>1.1666666666666667</v>
      </c>
      <c r="V24" s="19">
        <f t="shared" si="39"/>
        <v>1.1666666666666667</v>
      </c>
      <c r="W24" s="19">
        <f t="shared" si="40"/>
        <v>1.1666666666666667</v>
      </c>
      <c r="X24" s="19">
        <f t="shared" si="41"/>
        <v>1.1666666666666667</v>
      </c>
    </row>
    <row r="25" spans="1:24" x14ac:dyDescent="0.5">
      <c r="H25" s="16">
        <f>DATE($I$4,$I$5+1-$G$16,2)</f>
        <v>44959</v>
      </c>
      <c r="I25" s="16">
        <f t="shared" si="54"/>
        <v>45383</v>
      </c>
      <c r="J25" s="17">
        <f t="shared" si="31"/>
        <v>424</v>
      </c>
      <c r="K25" s="17">
        <f t="shared" si="32"/>
        <v>60</v>
      </c>
      <c r="L25" s="17">
        <f t="shared" si="33"/>
        <v>61</v>
      </c>
      <c r="M25" s="17">
        <f t="shared" si="20"/>
        <v>14</v>
      </c>
      <c r="N25" s="17">
        <f t="shared" si="9"/>
        <v>14</v>
      </c>
      <c r="O25" s="17">
        <f t="shared" si="2"/>
        <v>14</v>
      </c>
      <c r="P25" s="17">
        <f t="shared" si="34"/>
        <v>419</v>
      </c>
      <c r="Q25" s="18"/>
      <c r="R25" s="19">
        <f t="shared" si="35"/>
        <v>1.1584699453551912</v>
      </c>
      <c r="S25" s="19">
        <f t="shared" si="36"/>
        <v>1.1538461538461537</v>
      </c>
      <c r="T25" s="19">
        <f t="shared" si="37"/>
        <v>1.1509433962264151</v>
      </c>
      <c r="U25" s="19">
        <f t="shared" si="38"/>
        <v>1.1666666666666667</v>
      </c>
      <c r="V25" s="19">
        <f t="shared" si="39"/>
        <v>1.1666666666666667</v>
      </c>
      <c r="W25" s="19">
        <f t="shared" si="40"/>
        <v>1.1666666666666667</v>
      </c>
      <c r="X25" s="19">
        <f t="shared" si="41"/>
        <v>1.163888888888889</v>
      </c>
    </row>
    <row r="26" spans="1:24" x14ac:dyDescent="0.5">
      <c r="H26" s="4"/>
      <c r="I26" s="4"/>
      <c r="J26" s="3"/>
      <c r="L26" s="3"/>
      <c r="O26" s="3"/>
      <c r="P26" s="3"/>
      <c r="R26" s="12"/>
      <c r="S26" s="12"/>
      <c r="T26" s="12"/>
      <c r="U26" s="12"/>
      <c r="V26" s="12"/>
      <c r="W26" s="12"/>
      <c r="X26" s="12"/>
    </row>
    <row r="27" spans="1:24" x14ac:dyDescent="0.5">
      <c r="A27" s="13" t="s">
        <v>13</v>
      </c>
      <c r="B27" s="14"/>
      <c r="H27" s="4"/>
      <c r="I27" s="4"/>
      <c r="J27" s="3"/>
      <c r="L27" s="3"/>
      <c r="O27" s="3"/>
      <c r="P27" s="3"/>
      <c r="R27" s="12"/>
      <c r="S27" s="12"/>
      <c r="T27" s="12"/>
      <c r="U27" s="12"/>
      <c r="V27" s="12"/>
      <c r="W27" s="12"/>
      <c r="X27" s="12"/>
    </row>
    <row r="28" spans="1:24" x14ac:dyDescent="0.5">
      <c r="A28" t="s">
        <v>8</v>
      </c>
      <c r="B28" s="6">
        <v>45017</v>
      </c>
      <c r="C28" t="s">
        <v>9</v>
      </c>
      <c r="D28" s="6">
        <v>45046</v>
      </c>
      <c r="H28" s="4"/>
      <c r="I28" s="4"/>
      <c r="J28" s="3"/>
      <c r="L28" s="3"/>
      <c r="O28" s="3"/>
      <c r="P28" s="3"/>
      <c r="R28" s="12"/>
      <c r="S28" s="12"/>
      <c r="T28" s="12"/>
      <c r="U28" s="12"/>
      <c r="V28" s="12"/>
      <c r="W28" s="12"/>
      <c r="X28" s="12"/>
    </row>
    <row r="29" spans="1:24" x14ac:dyDescent="0.5">
      <c r="B29" s="1"/>
      <c r="D29" s="1"/>
      <c r="I29" s="15">
        <v>2023</v>
      </c>
      <c r="O29" s="3"/>
    </row>
    <row r="30" spans="1:24" x14ac:dyDescent="0.5">
      <c r="A30" t="s">
        <v>0</v>
      </c>
      <c r="B30" t="s">
        <v>15</v>
      </c>
      <c r="C30" t="s">
        <v>10</v>
      </c>
      <c r="D30" t="s">
        <v>11</v>
      </c>
      <c r="E30" t="s">
        <v>16</v>
      </c>
      <c r="F30" t="s">
        <v>14</v>
      </c>
      <c r="I30" s="15">
        <v>4</v>
      </c>
      <c r="O30" s="3"/>
      <c r="P30" s="7"/>
    </row>
    <row r="31" spans="1:24" x14ac:dyDescent="0.5">
      <c r="A31" t="s">
        <v>1</v>
      </c>
      <c r="B31" s="3">
        <f>_xlfn.DAYS(D28+1,B28)</f>
        <v>30</v>
      </c>
      <c r="C31" s="4">
        <f>$B$28</f>
        <v>45017</v>
      </c>
      <c r="D31" s="4">
        <f>$D$28</f>
        <v>45046</v>
      </c>
      <c r="E31" s="3">
        <f>_xlfn.DAYS(D31+1,C31)</f>
        <v>30</v>
      </c>
      <c r="F31" s="2">
        <f t="shared" ref="F31:F37" si="55">E31/B31</f>
        <v>1</v>
      </c>
      <c r="O31" s="3"/>
    </row>
    <row r="32" spans="1:24" x14ac:dyDescent="0.5">
      <c r="A32" t="s">
        <v>2</v>
      </c>
      <c r="B32" s="3">
        <f>ROUNDDOWN(_xlfn.DAYS(D28+1,B28)/7,0)</f>
        <v>4</v>
      </c>
      <c r="C32" s="4">
        <f t="shared" ref="C32:C37" si="56">$B$28</f>
        <v>45017</v>
      </c>
      <c r="D32" s="4">
        <f t="shared" ref="D32:D37" si="57">$D$28</f>
        <v>45046</v>
      </c>
      <c r="E32" s="3">
        <f>ROUNDDOWN(_xlfn.DAYS(D32+1,C32)/7,0)</f>
        <v>4</v>
      </c>
      <c r="F32" s="2">
        <f t="shared" si="55"/>
        <v>1</v>
      </c>
      <c r="H32" s="10" t="s">
        <v>10</v>
      </c>
      <c r="I32" s="10" t="s">
        <v>11</v>
      </c>
      <c r="J32" s="9" t="s">
        <v>1</v>
      </c>
      <c r="K32" s="9" t="s">
        <v>35</v>
      </c>
      <c r="L32" s="9" t="s">
        <v>3</v>
      </c>
      <c r="M32" s="21" t="s">
        <v>34</v>
      </c>
      <c r="N32" s="9" t="s">
        <v>5</v>
      </c>
      <c r="O32" s="21" t="s">
        <v>36</v>
      </c>
      <c r="P32" s="9" t="s">
        <v>7</v>
      </c>
      <c r="R32" s="9" t="s">
        <v>1</v>
      </c>
      <c r="S32" s="9" t="s">
        <v>35</v>
      </c>
      <c r="T32" s="9" t="s">
        <v>3</v>
      </c>
      <c r="U32" s="9" t="s">
        <v>34</v>
      </c>
      <c r="V32" s="9" t="s">
        <v>5</v>
      </c>
      <c r="W32" s="9" t="s">
        <v>36</v>
      </c>
      <c r="X32" s="9" t="s">
        <v>7</v>
      </c>
    </row>
    <row r="33" spans="1:24" x14ac:dyDescent="0.5">
      <c r="A33" t="s">
        <v>3</v>
      </c>
      <c r="B33" s="3">
        <f>ROUNDUP(_xlfn.DAYS(D28+1,B28)/7,0)</f>
        <v>5</v>
      </c>
      <c r="C33" s="4">
        <f t="shared" si="56"/>
        <v>45017</v>
      </c>
      <c r="D33" s="4">
        <f t="shared" si="57"/>
        <v>45046</v>
      </c>
      <c r="E33" s="3">
        <f>ROUNDUP(_xlfn.DAYS(D33+1,C33)/7,0)</f>
        <v>5</v>
      </c>
      <c r="F33" s="2">
        <f t="shared" si="55"/>
        <v>1</v>
      </c>
      <c r="H33" s="4">
        <f>$B$28</f>
        <v>45017</v>
      </c>
      <c r="I33" s="4">
        <f>DATE($I$29,$I$30,1)</f>
        <v>45017</v>
      </c>
      <c r="J33" s="3">
        <f>_xlfn.DAYS(I33+1,H33)</f>
        <v>1</v>
      </c>
      <c r="K33" s="3">
        <f>ROUNDDOWN(_xlfn.DAYS(I33+1,H33)/7,0)</f>
        <v>0</v>
      </c>
      <c r="L33" s="3">
        <f t="shared" ref="L33:L40" si="58">ROUNDUP(_xlfn.DAYS(I33+1,H33)/7,0)</f>
        <v>1</v>
      </c>
      <c r="M33" s="3">
        <f>IFERROR(IF(AND(MONTH(H33)=MONTH(I33),YEAR(H33)=YEAR(I33),I33-H33&gt;0),IF(I33-H33+1&lt;DAY(EOMONTH(H33,0))/2,0,1),
DATEDIF(EOMONTH(H33,0),EOMONTH(I33,-1)+1,"M") +
(IF(DAY(H33)&lt;=DAY(EOMONTH(H33,0))/2,1,0)) +
(IF(DAY(I33)&gt;DAY(EOMONTH(I33,0))/2,1,0))),0)</f>
        <v>0</v>
      </c>
      <c r="N33" s="3">
        <f t="shared" ref="N33:N37" si="59">(YEAR(I33)-YEAR(H33))*12+MONTH(I33)+1-MONTH(H33)</f>
        <v>1</v>
      </c>
      <c r="O33" s="3">
        <f>IFERROR(IF(AND(MONTH(H33)=MONTH(I33),YEAR(H33)=YEAR(I33),I33-H33&gt;0),IF(I33-H33+1&gt;=DAY(EOMONTH(H33,0)),1,0),
DATEDIF(EOMONTH(H33,0),EOMONTH(I33,-1)+1,"M") +
(IF(DAY(H33)&lt;=DAY(EOMONTH(H33,0))/2,1,0)) +
(IF(DAY(I33)&gt;DAY(EOMONTH(I33,0))/2,1,0))),0)</f>
        <v>0</v>
      </c>
      <c r="P33" s="3">
        <f t="shared" ref="P33:P39" si="60">DAYS360(H33,I33)</f>
        <v>0</v>
      </c>
      <c r="R33" s="12">
        <f>J33/$B$31</f>
        <v>3.3333333333333333E-2</v>
      </c>
      <c r="S33" s="12">
        <f>K33/$B$32</f>
        <v>0</v>
      </c>
      <c r="T33" s="12">
        <f>L33/$B$33</f>
        <v>0.2</v>
      </c>
      <c r="U33" s="12">
        <f>M33/$B$34</f>
        <v>0</v>
      </c>
      <c r="V33" s="12">
        <f>N33/$B$35</f>
        <v>1</v>
      </c>
      <c r="W33" s="12">
        <f>O33/$B$36</f>
        <v>0</v>
      </c>
      <c r="X33" s="12">
        <f>P33/$B$37</f>
        <v>0</v>
      </c>
    </row>
    <row r="34" spans="1:24" x14ac:dyDescent="0.5">
      <c r="A34" t="s">
        <v>4</v>
      </c>
      <c r="B34" s="20">
        <f>IFERROR(IF(AND(MONTH(B28)=MONTH(D28),YEAR(B28)=YEAR(D28),D28-B28&gt;0),IF(D28-B28+1&lt;DAY(EOMONTH(B28,0))/2,0,1),
DATEDIF(EOMONTH(B28,0),EOMONTH(D28,-1)+1,"M") +
(IF(DAY(B28)&lt;=DAY(EOMONTH(B28,0))/2,1,0)) +
(IF(DAY(D28)&gt;DAY(EOMONTH(D28,0))/2,1,0))),0)</f>
        <v>1</v>
      </c>
      <c r="C34" s="4">
        <f t="shared" si="56"/>
        <v>45017</v>
      </c>
      <c r="D34" s="4">
        <f t="shared" si="57"/>
        <v>45046</v>
      </c>
      <c r="E34" s="3">
        <f>IFERROR(IF(AND(MONTH(B28)=MONTH(D28),YEAR(B28)=YEAR(D28),D28-B28&gt;0),IF(D28-B28+1&lt;DAY(EOMONTH(B28,0))/2,0,1),
DATEDIF(EOMONTH(C34,0),EOMONTH(D34,-1)+1,"M") +
(IF(DAY(C34)&lt;=DAY(EOMONTH(C34,0))/2,1,0)) +
(IF(DAY(D34)&gt;DAY(EOMONTH(D34,0))/2,1,0))),0)</f>
        <v>1</v>
      </c>
      <c r="F34" s="2">
        <f t="shared" si="55"/>
        <v>1</v>
      </c>
      <c r="H34" s="4">
        <f t="shared" ref="H34:H41" si="61">$B$28</f>
        <v>45017</v>
      </c>
      <c r="I34" s="4">
        <f>DATE($I$29,$I$30,2)</f>
        <v>45018</v>
      </c>
      <c r="J34" s="3">
        <f>_xlfn.DAYS(I34+1,H34)</f>
        <v>2</v>
      </c>
      <c r="K34" s="3">
        <f>ROUNDDOWN(_xlfn.DAYS(I34+1,H34)/7,0)</f>
        <v>0</v>
      </c>
      <c r="L34" s="3">
        <f t="shared" ref="L34" si="62">ROUNDUP(_xlfn.DAYS(I34+1,H34)/7,0)</f>
        <v>1</v>
      </c>
      <c r="M34" s="3">
        <f t="shared" ref="M34:M50" si="63">IFERROR(IF(AND(MONTH(H34)=MONTH(I34),YEAR(H34)=YEAR(I34),I34-H34&gt;0),IF(I34-H34+1&lt;DAY(EOMONTH(H34,0))/2,0,1),
DATEDIF(EOMONTH(H34,0),EOMONTH(I34,-1)+1,"M") +
(IF(DAY(H34)&lt;=DAY(EOMONTH(H34,0))/2,1,0)) +
(IF(DAY(I34)&gt;DAY(EOMONTH(I34,0))/2,1,0))),0)</f>
        <v>0</v>
      </c>
      <c r="N34" s="3">
        <f t="shared" ref="N34" si="64">(YEAR(I34)-YEAR(H34))*12+MONTH(I34)+1-MONTH(H34)</f>
        <v>1</v>
      </c>
      <c r="O34" s="3">
        <f t="shared" ref="O34:O50" si="65">IFERROR(IF(AND(MONTH(H34)=MONTH(I34),YEAR(H34)=YEAR(I34),I34-H34&gt;0),IF(I34-H34+1&gt;=DAY(EOMONTH(H34,0)),1,0),
DATEDIF(EOMONTH(H34,0),EOMONTH(I34,-1)+1,"M") +
(IF(DAY(H34)&lt;=DAY(EOMONTH(H34,0))/2,1,0)) +
(IF(DAY(I34)&gt;DAY(EOMONTH(I34,0))/2,1,0))),0)</f>
        <v>0</v>
      </c>
      <c r="P34" s="3">
        <f t="shared" ref="P34" si="66">DAYS360(H34,I34)</f>
        <v>1</v>
      </c>
      <c r="R34" s="12">
        <f>J34/$B$31</f>
        <v>6.6666666666666666E-2</v>
      </c>
      <c r="S34" s="12">
        <f>K34/$B$32</f>
        <v>0</v>
      </c>
      <c r="T34" s="12">
        <f>L34/$B$33</f>
        <v>0.2</v>
      </c>
      <c r="U34" s="12">
        <f>M34/$B$34</f>
        <v>0</v>
      </c>
      <c r="V34" s="12">
        <f>N34/$B$35</f>
        <v>1</v>
      </c>
      <c r="W34" s="12">
        <f>O34/$B$36</f>
        <v>0</v>
      </c>
      <c r="X34" s="12">
        <f>P34/$B$37</f>
        <v>3.4482758620689655E-2</v>
      </c>
    </row>
    <row r="35" spans="1:24" x14ac:dyDescent="0.5">
      <c r="A35" t="s">
        <v>5</v>
      </c>
      <c r="B35" s="3">
        <f>(YEAR(D28)-YEAR(B28))*12+MONTH(D28)+1-MONTH(B28)</f>
        <v>1</v>
      </c>
      <c r="C35" s="4">
        <f t="shared" si="56"/>
        <v>45017</v>
      </c>
      <c r="D35" s="4">
        <f t="shared" si="57"/>
        <v>45046</v>
      </c>
      <c r="E35" s="3">
        <f>(YEAR(D35)-YEAR(C35))*12+MONTH(D35)+1-MONTH(C35)</f>
        <v>1</v>
      </c>
      <c r="F35" s="2">
        <f t="shared" si="55"/>
        <v>1</v>
      </c>
      <c r="H35" s="4">
        <f t="shared" si="61"/>
        <v>45017</v>
      </c>
      <c r="I35" s="4">
        <f>DATE($I$29,$I$30,14)</f>
        <v>45030</v>
      </c>
      <c r="J35" s="3">
        <f t="shared" ref="J35:J40" si="67">_xlfn.DAYS(I35+1,H35)</f>
        <v>14</v>
      </c>
      <c r="K35" s="3">
        <f>ROUNDDOWN(_xlfn.DAYS(I35+1,H35)/7,0)</f>
        <v>2</v>
      </c>
      <c r="L35" s="3">
        <f t="shared" si="58"/>
        <v>2</v>
      </c>
      <c r="M35" s="3">
        <f t="shared" si="63"/>
        <v>0</v>
      </c>
      <c r="N35" s="3">
        <f t="shared" si="59"/>
        <v>1</v>
      </c>
      <c r="O35" s="3">
        <f t="shared" si="65"/>
        <v>0</v>
      </c>
      <c r="P35" s="3">
        <f t="shared" si="60"/>
        <v>13</v>
      </c>
      <c r="R35" s="12">
        <f t="shared" ref="R35:R40" si="68">J35/$B$31</f>
        <v>0.46666666666666667</v>
      </c>
      <c r="S35" s="12">
        <f t="shared" ref="S35:S40" si="69">K35/$B$32</f>
        <v>0.5</v>
      </c>
      <c r="T35" s="12">
        <f t="shared" ref="T35:T40" si="70">L35/$B$33</f>
        <v>0.4</v>
      </c>
      <c r="U35" s="12">
        <f t="shared" ref="U35:U40" si="71">M35/$B$34</f>
        <v>0</v>
      </c>
      <c r="V35" s="12">
        <f t="shared" ref="V35:V40" si="72">N35/$B$35</f>
        <v>1</v>
      </c>
      <c r="W35" s="12">
        <f t="shared" ref="W35:W40" si="73">O35/$B$36</f>
        <v>0</v>
      </c>
      <c r="X35" s="12">
        <f t="shared" ref="X35:X40" si="74">P35/$B$37</f>
        <v>0.44827586206896552</v>
      </c>
    </row>
    <row r="36" spans="1:24" x14ac:dyDescent="0.5">
      <c r="A36" t="s">
        <v>6</v>
      </c>
      <c r="B36" s="3">
        <f>IFERROR(IF(AND(MONTH(B28)=MONTH(D28),YEAR(B28)=YEAR(D28),D28-B28&gt;0),IF(D28-B28+1&gt;=DAY(EOMONTH(B28,0)),1,0),
DATEDIF(EOMONTH(B28,0),EOMONTH(D28,-1)+1,"M")+
(IF(DAY(B28)=1,1,0)) +
(IF(DAY(D28)=DAY(EOMONTH(D28,0)),1,0))),0)</f>
        <v>1</v>
      </c>
      <c r="C36" s="4">
        <f t="shared" si="56"/>
        <v>45017</v>
      </c>
      <c r="D36" s="4">
        <f t="shared" si="57"/>
        <v>45046</v>
      </c>
      <c r="E36" s="3">
        <f>IFERROR(IF(AND(MONTH(C36)=MONTH(D36),YEAR(C36)=YEAR(D36),D36-C36&gt;0),IF(D36-C36+1&gt;=DAY(EOMONTH(C36,0)),1,0),
DATEDIF(EOMONTH(C36,0),EOMONTH(D36,-1)+1,"M")+
(IF(DAY(C36)=1,1,0)) +
(IF(DAY(D36)=DAY(EOMONTH(D36,0)),1,0))),0)</f>
        <v>1</v>
      </c>
      <c r="F36" s="2">
        <f t="shared" si="55"/>
        <v>1</v>
      </c>
      <c r="H36" s="4">
        <f t="shared" si="61"/>
        <v>45017</v>
      </c>
      <c r="I36" s="4">
        <f>DATE($I$29,$I$30,15)</f>
        <v>45031</v>
      </c>
      <c r="J36" s="3">
        <f t="shared" si="67"/>
        <v>15</v>
      </c>
      <c r="K36" s="3">
        <f t="shared" ref="K36:K40" si="75">ROUNDDOWN(_xlfn.DAYS(I36+1,H36)/7,0)</f>
        <v>2</v>
      </c>
      <c r="L36" s="3">
        <f>ROUNDUP(_xlfn.DAYS(I36+1,H36)/7,0)</f>
        <v>3</v>
      </c>
      <c r="M36" s="3">
        <f t="shared" si="63"/>
        <v>1</v>
      </c>
      <c r="N36" s="3">
        <f t="shared" si="59"/>
        <v>1</v>
      </c>
      <c r="O36" s="3">
        <f t="shared" si="65"/>
        <v>0</v>
      </c>
      <c r="P36" s="3">
        <f t="shared" si="60"/>
        <v>14</v>
      </c>
      <c r="R36" s="12">
        <f t="shared" si="68"/>
        <v>0.5</v>
      </c>
      <c r="S36" s="12">
        <f t="shared" si="69"/>
        <v>0.5</v>
      </c>
      <c r="T36" s="12">
        <f t="shared" si="70"/>
        <v>0.6</v>
      </c>
      <c r="U36" s="12">
        <f t="shared" si="71"/>
        <v>1</v>
      </c>
      <c r="V36" s="12">
        <f t="shared" si="72"/>
        <v>1</v>
      </c>
      <c r="W36" s="12">
        <f t="shared" si="73"/>
        <v>0</v>
      </c>
      <c r="X36" s="12">
        <f t="shared" si="74"/>
        <v>0.48275862068965519</v>
      </c>
    </row>
    <row r="37" spans="1:24" x14ac:dyDescent="0.5">
      <c r="A37" t="s">
        <v>7</v>
      </c>
      <c r="B37" s="3">
        <f>DAYS360(B28,D28)</f>
        <v>29</v>
      </c>
      <c r="C37" s="4">
        <f t="shared" si="56"/>
        <v>45017</v>
      </c>
      <c r="D37" s="4">
        <f t="shared" si="57"/>
        <v>45046</v>
      </c>
      <c r="E37" s="3">
        <f>DAYS360(C37,D37)</f>
        <v>29</v>
      </c>
      <c r="F37" s="2">
        <f t="shared" si="55"/>
        <v>1</v>
      </c>
      <c r="H37" s="4">
        <f t="shared" si="61"/>
        <v>45017</v>
      </c>
      <c r="I37" s="4">
        <f>DATE($I$29,$I$30,16)</f>
        <v>45032</v>
      </c>
      <c r="J37" s="3">
        <f t="shared" si="67"/>
        <v>16</v>
      </c>
      <c r="K37" s="3">
        <f t="shared" si="75"/>
        <v>2</v>
      </c>
      <c r="L37" s="3">
        <f t="shared" si="58"/>
        <v>3</v>
      </c>
      <c r="M37" s="3">
        <f t="shared" si="63"/>
        <v>1</v>
      </c>
      <c r="N37" s="3">
        <f t="shared" si="59"/>
        <v>1</v>
      </c>
      <c r="O37" s="3">
        <f t="shared" si="65"/>
        <v>0</v>
      </c>
      <c r="P37" s="3">
        <f t="shared" si="60"/>
        <v>15</v>
      </c>
      <c r="R37" s="12">
        <f t="shared" si="68"/>
        <v>0.53333333333333333</v>
      </c>
      <c r="S37" s="12">
        <f t="shared" si="69"/>
        <v>0.5</v>
      </c>
      <c r="T37" s="12">
        <f t="shared" si="70"/>
        <v>0.6</v>
      </c>
      <c r="U37" s="12">
        <f t="shared" si="71"/>
        <v>1</v>
      </c>
      <c r="V37" s="12">
        <f t="shared" si="72"/>
        <v>1</v>
      </c>
      <c r="W37" s="12">
        <f t="shared" si="73"/>
        <v>0</v>
      </c>
      <c r="X37" s="12">
        <f t="shared" si="74"/>
        <v>0.51724137931034486</v>
      </c>
    </row>
    <row r="38" spans="1:24" x14ac:dyDescent="0.5">
      <c r="H38" s="4">
        <f t="shared" si="61"/>
        <v>45017</v>
      </c>
      <c r="I38" s="4">
        <f>DATE($I$29,$I$30,DAY(EOMONTH(I33,0))-1)</f>
        <v>45045</v>
      </c>
      <c r="J38" s="3">
        <f t="shared" si="67"/>
        <v>29</v>
      </c>
      <c r="K38" s="3">
        <f t="shared" si="75"/>
        <v>4</v>
      </c>
      <c r="L38" s="3">
        <f t="shared" si="58"/>
        <v>5</v>
      </c>
      <c r="M38" s="3">
        <f t="shared" si="63"/>
        <v>1</v>
      </c>
      <c r="N38" s="3">
        <f>(YEAR(I38)-YEAR(H38))*12+MONTH(I38)+1-MONTH(H38)</f>
        <v>1</v>
      </c>
      <c r="O38" s="3">
        <f t="shared" si="65"/>
        <v>0</v>
      </c>
      <c r="P38" s="3">
        <f t="shared" si="60"/>
        <v>28</v>
      </c>
      <c r="R38" s="12">
        <f t="shared" si="68"/>
        <v>0.96666666666666667</v>
      </c>
      <c r="S38" s="12">
        <f t="shared" si="69"/>
        <v>1</v>
      </c>
      <c r="T38" s="12">
        <f t="shared" si="70"/>
        <v>1</v>
      </c>
      <c r="U38" s="12">
        <f t="shared" si="71"/>
        <v>1</v>
      </c>
      <c r="V38" s="12">
        <f t="shared" si="72"/>
        <v>1</v>
      </c>
      <c r="W38" s="12">
        <f t="shared" si="73"/>
        <v>0</v>
      </c>
      <c r="X38" s="12">
        <f t="shared" si="74"/>
        <v>0.96551724137931039</v>
      </c>
    </row>
    <row r="39" spans="1:24" x14ac:dyDescent="0.5">
      <c r="H39" s="4">
        <f t="shared" si="61"/>
        <v>45017</v>
      </c>
      <c r="I39" s="4">
        <f>DATE($I$29,$I$30,DAY(EOMONTH(I33,0)))</f>
        <v>45046</v>
      </c>
      <c r="J39" s="3">
        <f t="shared" si="67"/>
        <v>30</v>
      </c>
      <c r="K39" s="3">
        <f t="shared" si="75"/>
        <v>4</v>
      </c>
      <c r="L39" s="3">
        <f t="shared" si="58"/>
        <v>5</v>
      </c>
      <c r="M39" s="3">
        <f t="shared" si="63"/>
        <v>1</v>
      </c>
      <c r="N39" s="3">
        <f t="shared" ref="N39:N40" si="76">(YEAR(I39)-YEAR(H39))*12+MONTH(I39)+1-MONTH(H39)</f>
        <v>1</v>
      </c>
      <c r="O39" s="3">
        <f t="shared" si="65"/>
        <v>1</v>
      </c>
      <c r="P39" s="3">
        <f t="shared" si="60"/>
        <v>29</v>
      </c>
      <c r="R39" s="12">
        <f t="shared" si="68"/>
        <v>1</v>
      </c>
      <c r="S39" s="12">
        <f t="shared" si="69"/>
        <v>1</v>
      </c>
      <c r="T39" s="12">
        <f t="shared" si="70"/>
        <v>1</v>
      </c>
      <c r="U39" s="12">
        <f t="shared" si="71"/>
        <v>1</v>
      </c>
      <c r="V39" s="12">
        <f t="shared" si="72"/>
        <v>1</v>
      </c>
      <c r="W39" s="12">
        <f t="shared" si="73"/>
        <v>1</v>
      </c>
      <c r="X39" s="12">
        <f t="shared" si="74"/>
        <v>1</v>
      </c>
    </row>
    <row r="40" spans="1:24" x14ac:dyDescent="0.5">
      <c r="H40" s="4">
        <f t="shared" si="61"/>
        <v>45017</v>
      </c>
      <c r="I40" s="4">
        <f>DATE($I$29,$I$30+1,1)</f>
        <v>45047</v>
      </c>
      <c r="J40" s="3">
        <f t="shared" si="67"/>
        <v>31</v>
      </c>
      <c r="K40" s="3">
        <f t="shared" si="75"/>
        <v>4</v>
      </c>
      <c r="L40" s="3">
        <f t="shared" si="58"/>
        <v>5</v>
      </c>
      <c r="M40" s="3">
        <f t="shared" si="63"/>
        <v>1</v>
      </c>
      <c r="N40" s="3">
        <f t="shared" si="76"/>
        <v>2</v>
      </c>
      <c r="O40" s="3">
        <f t="shared" si="65"/>
        <v>1</v>
      </c>
      <c r="P40" s="3">
        <f>DAYS360(H40,I40)</f>
        <v>30</v>
      </c>
      <c r="R40" s="12">
        <f t="shared" si="68"/>
        <v>1.0333333333333334</v>
      </c>
      <c r="S40" s="12">
        <f t="shared" si="69"/>
        <v>1</v>
      </c>
      <c r="T40" s="12">
        <f t="shared" si="70"/>
        <v>1</v>
      </c>
      <c r="U40" s="12">
        <f t="shared" si="71"/>
        <v>1</v>
      </c>
      <c r="V40" s="12">
        <f t="shared" si="72"/>
        <v>2</v>
      </c>
      <c r="W40" s="12">
        <f t="shared" si="73"/>
        <v>1</v>
      </c>
      <c r="X40" s="12">
        <f t="shared" si="74"/>
        <v>1.0344827586206897</v>
      </c>
    </row>
    <row r="41" spans="1:24" x14ac:dyDescent="0.5">
      <c r="H41" s="4">
        <f t="shared" si="61"/>
        <v>45017</v>
      </c>
      <c r="I41" s="4">
        <f>DATE($I$29,$I$30+1,2)</f>
        <v>45048</v>
      </c>
      <c r="J41" s="3">
        <f t="shared" ref="J41" si="77">_xlfn.DAYS(I41+1,H41)</f>
        <v>32</v>
      </c>
      <c r="K41" s="3">
        <f t="shared" ref="K41" si="78">ROUNDDOWN(_xlfn.DAYS(I41+1,H41)/7,0)</f>
        <v>4</v>
      </c>
      <c r="L41" s="3">
        <f t="shared" ref="L41" si="79">ROUNDUP(_xlfn.DAYS(I41+1,H41)/7,0)</f>
        <v>5</v>
      </c>
      <c r="M41" s="3">
        <f t="shared" si="63"/>
        <v>1</v>
      </c>
      <c r="N41" s="3">
        <f t="shared" ref="N41" si="80">(YEAR(I41)-YEAR(H41))*12+MONTH(I41)+1-MONTH(H41)</f>
        <v>2</v>
      </c>
      <c r="O41" s="3">
        <f t="shared" si="65"/>
        <v>1</v>
      </c>
      <c r="P41" s="3">
        <f>DAYS360(H41,I41)</f>
        <v>31</v>
      </c>
      <c r="R41" s="12">
        <f t="shared" ref="R41" si="81">J41/$B$31</f>
        <v>1.0666666666666667</v>
      </c>
      <c r="S41" s="12">
        <f t="shared" ref="S41" si="82">K41/$B$32</f>
        <v>1</v>
      </c>
      <c r="T41" s="12">
        <f t="shared" ref="T41" si="83">L41/$B$33</f>
        <v>1</v>
      </c>
      <c r="U41" s="12">
        <f t="shared" ref="U41" si="84">M41/$B$34</f>
        <v>1</v>
      </c>
      <c r="V41" s="12">
        <f t="shared" ref="V41" si="85">N41/$B$35</f>
        <v>2</v>
      </c>
      <c r="W41" s="12">
        <f t="shared" ref="W41" si="86">O41/$B$36</f>
        <v>1</v>
      </c>
      <c r="X41" s="12">
        <f t="shared" ref="X41" si="87">P41/$B$37</f>
        <v>1.0689655172413792</v>
      </c>
    </row>
    <row r="42" spans="1:24" x14ac:dyDescent="0.5">
      <c r="F42" s="22" t="s">
        <v>37</v>
      </c>
      <c r="G42" s="23">
        <v>0</v>
      </c>
      <c r="H42" s="16">
        <f>DATE($I$29,$I$30-$G$42,1)</f>
        <v>45017</v>
      </c>
      <c r="I42" s="16">
        <f>$D$28</f>
        <v>45046</v>
      </c>
      <c r="J42" s="17">
        <f t="shared" ref="J42:J50" si="88">_xlfn.DAYS(I42+1,H42)</f>
        <v>30</v>
      </c>
      <c r="K42" s="17">
        <f t="shared" ref="K42:K50" si="89">ROUNDDOWN(_xlfn.DAYS(I42+1,H42)/7,0)</f>
        <v>4</v>
      </c>
      <c r="L42" s="17">
        <f t="shared" ref="L42:L50" si="90">ROUNDUP(_xlfn.DAYS(I42+1,H42)/7,0)</f>
        <v>5</v>
      </c>
      <c r="M42" s="17">
        <f t="shared" si="63"/>
        <v>1</v>
      </c>
      <c r="N42" s="17">
        <f t="shared" ref="N42:N50" si="91">(YEAR(I42)-YEAR(H42))*12+MONTH(I42)+1-MONTH(H42)</f>
        <v>1</v>
      </c>
      <c r="O42" s="17">
        <f t="shared" si="65"/>
        <v>1</v>
      </c>
      <c r="P42" s="17">
        <f t="shared" ref="P42:P50" si="92">DAYS360(H42,I42)</f>
        <v>29</v>
      </c>
      <c r="Q42" s="18"/>
      <c r="R42" s="19">
        <f t="shared" ref="R42:R50" si="93">J42/$B$31</f>
        <v>1</v>
      </c>
      <c r="S42" s="19">
        <f t="shared" ref="S42:S50" si="94">K42/$B$32</f>
        <v>1</v>
      </c>
      <c r="T42" s="19">
        <f t="shared" ref="T42:T50" si="95">L42/$B$33</f>
        <v>1</v>
      </c>
      <c r="U42" s="19">
        <f t="shared" ref="U42:U50" si="96">M42/$B$34</f>
        <v>1</v>
      </c>
      <c r="V42" s="19">
        <f t="shared" ref="V42:V50" si="97">N42/$B$35</f>
        <v>1</v>
      </c>
      <c r="W42" s="19">
        <f t="shared" ref="W42:W50" si="98">O42/$B$36</f>
        <v>1</v>
      </c>
      <c r="X42" s="19">
        <f t="shared" ref="X42:X50" si="99">P42/$B$37</f>
        <v>1</v>
      </c>
    </row>
    <row r="43" spans="1:24" x14ac:dyDescent="0.5">
      <c r="A43" s="8" t="s">
        <v>25</v>
      </c>
      <c r="B43" s="3">
        <v>31</v>
      </c>
      <c r="H43" s="16">
        <f>DATE($I$29,$I$30-$G$42,2)</f>
        <v>45018</v>
      </c>
      <c r="I43" s="16">
        <f t="shared" ref="I43:I50" si="100">$D$28</f>
        <v>45046</v>
      </c>
      <c r="J43" s="17">
        <f t="shared" ref="J43" si="101">_xlfn.DAYS(I43+1,H43)</f>
        <v>29</v>
      </c>
      <c r="K43" s="17">
        <f t="shared" ref="K43" si="102">ROUNDDOWN(_xlfn.DAYS(I43+1,H43)/7,0)</f>
        <v>4</v>
      </c>
      <c r="L43" s="17">
        <f t="shared" ref="L43" si="103">ROUNDUP(_xlfn.DAYS(I43+1,H43)/7,0)</f>
        <v>5</v>
      </c>
      <c r="M43" s="17">
        <f t="shared" si="63"/>
        <v>1</v>
      </c>
      <c r="N43" s="17">
        <f t="shared" ref="N43" si="104">(YEAR(I43)-YEAR(H43))*12+MONTH(I43)+1-MONTH(H43)</f>
        <v>1</v>
      </c>
      <c r="O43" s="17">
        <f t="shared" si="65"/>
        <v>0</v>
      </c>
      <c r="P43" s="17">
        <f t="shared" ref="P43" si="105">DAYS360(H43,I43)</f>
        <v>28</v>
      </c>
      <c r="Q43" s="18"/>
      <c r="R43" s="19">
        <f t="shared" ref="R43" si="106">J43/$B$31</f>
        <v>0.96666666666666667</v>
      </c>
      <c r="S43" s="19">
        <f t="shared" ref="S43" si="107">K43/$B$32</f>
        <v>1</v>
      </c>
      <c r="T43" s="19">
        <f t="shared" ref="T43" si="108">L43/$B$33</f>
        <v>1</v>
      </c>
      <c r="U43" s="19">
        <f t="shared" ref="U43" si="109">M43/$B$34</f>
        <v>1</v>
      </c>
      <c r="V43" s="19">
        <f t="shared" ref="V43" si="110">N43/$B$35</f>
        <v>1</v>
      </c>
      <c r="W43" s="19">
        <f t="shared" ref="W43" si="111">O43/$B$36</f>
        <v>0</v>
      </c>
      <c r="X43" s="19">
        <f t="shared" ref="X43" si="112">P43/$B$37</f>
        <v>0.96551724137931039</v>
      </c>
    </row>
    <row r="44" spans="1:24" x14ac:dyDescent="0.5">
      <c r="A44" s="8" t="s">
        <v>26</v>
      </c>
      <c r="B44" s="3">
        <f>DAY(EOMONTH(DATE(I4,2,1),0))</f>
        <v>28</v>
      </c>
      <c r="H44" s="16">
        <f>DATE($I$29,$I$30-$G$42,14)</f>
        <v>45030</v>
      </c>
      <c r="I44" s="16">
        <f t="shared" si="100"/>
        <v>45046</v>
      </c>
      <c r="J44" s="17">
        <f t="shared" si="88"/>
        <v>17</v>
      </c>
      <c r="K44" s="17">
        <f t="shared" si="89"/>
        <v>2</v>
      </c>
      <c r="L44" s="17">
        <f t="shared" si="90"/>
        <v>3</v>
      </c>
      <c r="M44" s="17">
        <f t="shared" si="63"/>
        <v>1</v>
      </c>
      <c r="N44" s="17">
        <f t="shared" si="91"/>
        <v>1</v>
      </c>
      <c r="O44" s="17">
        <f t="shared" si="65"/>
        <v>0</v>
      </c>
      <c r="P44" s="17">
        <f t="shared" si="92"/>
        <v>16</v>
      </c>
      <c r="Q44" s="18"/>
      <c r="R44" s="19">
        <f t="shared" si="93"/>
        <v>0.56666666666666665</v>
      </c>
      <c r="S44" s="19">
        <f t="shared" si="94"/>
        <v>0.5</v>
      </c>
      <c r="T44" s="19">
        <f t="shared" si="95"/>
        <v>0.6</v>
      </c>
      <c r="U44" s="19">
        <f t="shared" si="96"/>
        <v>1</v>
      </c>
      <c r="V44" s="19">
        <f t="shared" si="97"/>
        <v>1</v>
      </c>
      <c r="W44" s="19">
        <f t="shared" si="98"/>
        <v>0</v>
      </c>
      <c r="X44" s="19">
        <f t="shared" si="99"/>
        <v>0.55172413793103448</v>
      </c>
    </row>
    <row r="45" spans="1:24" x14ac:dyDescent="0.5">
      <c r="A45" s="8" t="s">
        <v>27</v>
      </c>
      <c r="B45" s="3">
        <v>31</v>
      </c>
      <c r="H45" s="16">
        <f>DATE($I$29,$I$30-$G$42,15)</f>
        <v>45031</v>
      </c>
      <c r="I45" s="16">
        <f t="shared" si="100"/>
        <v>45046</v>
      </c>
      <c r="J45" s="17">
        <f t="shared" si="88"/>
        <v>16</v>
      </c>
      <c r="K45" s="17">
        <f t="shared" si="89"/>
        <v>2</v>
      </c>
      <c r="L45" s="17">
        <f t="shared" si="90"/>
        <v>3</v>
      </c>
      <c r="M45" s="17">
        <f t="shared" si="63"/>
        <v>1</v>
      </c>
      <c r="N45" s="17">
        <f t="shared" si="91"/>
        <v>1</v>
      </c>
      <c r="O45" s="17">
        <f t="shared" si="65"/>
        <v>0</v>
      </c>
      <c r="P45" s="17">
        <f t="shared" si="92"/>
        <v>15</v>
      </c>
      <c r="Q45" s="18"/>
      <c r="R45" s="19">
        <f t="shared" si="93"/>
        <v>0.53333333333333333</v>
      </c>
      <c r="S45" s="19">
        <f t="shared" si="94"/>
        <v>0.5</v>
      </c>
      <c r="T45" s="19">
        <f t="shared" si="95"/>
        <v>0.6</v>
      </c>
      <c r="U45" s="19">
        <f t="shared" si="96"/>
        <v>1</v>
      </c>
      <c r="V45" s="19">
        <f t="shared" si="97"/>
        <v>1</v>
      </c>
      <c r="W45" s="19">
        <f t="shared" si="98"/>
        <v>0</v>
      </c>
      <c r="X45" s="19">
        <f t="shared" si="99"/>
        <v>0.51724137931034486</v>
      </c>
    </row>
    <row r="46" spans="1:24" x14ac:dyDescent="0.5">
      <c r="A46" s="8" t="s">
        <v>22</v>
      </c>
      <c r="B46" s="3">
        <v>30</v>
      </c>
      <c r="H46" s="16">
        <f>DATE($I$29,$I$30-$G$42,16)</f>
        <v>45032</v>
      </c>
      <c r="I46" s="16">
        <f t="shared" si="100"/>
        <v>45046</v>
      </c>
      <c r="J46" s="17">
        <f t="shared" si="88"/>
        <v>15</v>
      </c>
      <c r="K46" s="17">
        <f t="shared" si="89"/>
        <v>2</v>
      </c>
      <c r="L46" s="17">
        <f t="shared" si="90"/>
        <v>3</v>
      </c>
      <c r="M46" s="17">
        <f t="shared" si="63"/>
        <v>1</v>
      </c>
      <c r="N46" s="17">
        <f t="shared" si="91"/>
        <v>1</v>
      </c>
      <c r="O46" s="17">
        <f t="shared" si="65"/>
        <v>0</v>
      </c>
      <c r="P46" s="17">
        <f t="shared" si="92"/>
        <v>14</v>
      </c>
      <c r="Q46" s="18"/>
      <c r="R46" s="19">
        <f t="shared" si="93"/>
        <v>0.5</v>
      </c>
      <c r="S46" s="19">
        <f t="shared" si="94"/>
        <v>0.5</v>
      </c>
      <c r="T46" s="19">
        <f t="shared" si="95"/>
        <v>0.6</v>
      </c>
      <c r="U46" s="19">
        <f t="shared" si="96"/>
        <v>1</v>
      </c>
      <c r="V46" s="19">
        <f t="shared" si="97"/>
        <v>1</v>
      </c>
      <c r="W46" s="19">
        <f t="shared" si="98"/>
        <v>0</v>
      </c>
      <c r="X46" s="19">
        <f t="shared" si="99"/>
        <v>0.48275862068965519</v>
      </c>
    </row>
    <row r="47" spans="1:24" x14ac:dyDescent="0.5">
      <c r="A47" s="8" t="s">
        <v>23</v>
      </c>
      <c r="B47" s="3">
        <v>31</v>
      </c>
      <c r="H47" s="16">
        <f>DATE($I$29,$I$30-$G$42,DAY(EOMONTH(H42,0))-1)</f>
        <v>45045</v>
      </c>
      <c r="I47" s="16">
        <f t="shared" si="100"/>
        <v>45046</v>
      </c>
      <c r="J47" s="17">
        <f t="shared" si="88"/>
        <v>2</v>
      </c>
      <c r="K47" s="17">
        <f t="shared" si="89"/>
        <v>0</v>
      </c>
      <c r="L47" s="17">
        <f t="shared" si="90"/>
        <v>1</v>
      </c>
      <c r="M47" s="17">
        <f t="shared" si="63"/>
        <v>0</v>
      </c>
      <c r="N47" s="17">
        <f t="shared" si="91"/>
        <v>1</v>
      </c>
      <c r="O47" s="17">
        <f t="shared" si="65"/>
        <v>0</v>
      </c>
      <c r="P47" s="17">
        <f t="shared" si="92"/>
        <v>1</v>
      </c>
      <c r="Q47" s="18"/>
      <c r="R47" s="19">
        <f t="shared" si="93"/>
        <v>6.6666666666666666E-2</v>
      </c>
      <c r="S47" s="19">
        <f t="shared" si="94"/>
        <v>0</v>
      </c>
      <c r="T47" s="19">
        <f t="shared" si="95"/>
        <v>0.2</v>
      </c>
      <c r="U47" s="19">
        <f t="shared" si="96"/>
        <v>0</v>
      </c>
      <c r="V47" s="19">
        <f t="shared" si="97"/>
        <v>1</v>
      </c>
      <c r="W47" s="19">
        <f t="shared" si="98"/>
        <v>0</v>
      </c>
      <c r="X47" s="19">
        <f t="shared" si="99"/>
        <v>3.4482758620689655E-2</v>
      </c>
    </row>
    <row r="48" spans="1:24" x14ac:dyDescent="0.5">
      <c r="A48" s="8" t="s">
        <v>24</v>
      </c>
      <c r="B48" s="3">
        <v>30</v>
      </c>
      <c r="H48" s="16">
        <f>DATE($I$29,$I$30-$G$42,DAY(EOMONTH(H42,0)))</f>
        <v>45046</v>
      </c>
      <c r="I48" s="16">
        <f t="shared" si="100"/>
        <v>45046</v>
      </c>
      <c r="J48" s="17">
        <f t="shared" si="88"/>
        <v>1</v>
      </c>
      <c r="K48" s="17">
        <f t="shared" si="89"/>
        <v>0</v>
      </c>
      <c r="L48" s="17">
        <f t="shared" si="90"/>
        <v>1</v>
      </c>
      <c r="M48" s="17">
        <f t="shared" si="63"/>
        <v>0</v>
      </c>
      <c r="N48" s="17">
        <f t="shared" si="91"/>
        <v>1</v>
      </c>
      <c r="O48" s="17">
        <f t="shared" si="65"/>
        <v>0</v>
      </c>
      <c r="P48" s="17">
        <f t="shared" si="92"/>
        <v>0</v>
      </c>
      <c r="Q48" s="18"/>
      <c r="R48" s="19">
        <f t="shared" si="93"/>
        <v>3.3333333333333333E-2</v>
      </c>
      <c r="S48" s="19">
        <f t="shared" si="94"/>
        <v>0</v>
      </c>
      <c r="T48" s="19">
        <f t="shared" si="95"/>
        <v>0.2</v>
      </c>
      <c r="U48" s="19">
        <f t="shared" si="96"/>
        <v>0</v>
      </c>
      <c r="V48" s="19">
        <f t="shared" si="97"/>
        <v>1</v>
      </c>
      <c r="W48" s="19">
        <f t="shared" si="98"/>
        <v>0</v>
      </c>
      <c r="X48" s="19">
        <f t="shared" si="99"/>
        <v>0</v>
      </c>
    </row>
    <row r="49" spans="1:24" x14ac:dyDescent="0.5">
      <c r="A49" s="8" t="s">
        <v>28</v>
      </c>
      <c r="B49" s="3">
        <v>31</v>
      </c>
      <c r="H49" s="16">
        <f>DATE($I$29,$I$30+1-$G$42,1)</f>
        <v>45047</v>
      </c>
      <c r="I49" s="16">
        <f t="shared" si="100"/>
        <v>45046</v>
      </c>
      <c r="J49" s="17">
        <f t="shared" si="88"/>
        <v>0</v>
      </c>
      <c r="K49" s="17">
        <f t="shared" si="89"/>
        <v>0</v>
      </c>
      <c r="L49" s="17">
        <f t="shared" si="90"/>
        <v>0</v>
      </c>
      <c r="M49" s="17">
        <f t="shared" si="63"/>
        <v>0</v>
      </c>
      <c r="N49" s="17">
        <f t="shared" si="91"/>
        <v>0</v>
      </c>
      <c r="O49" s="17">
        <f t="shared" si="65"/>
        <v>0</v>
      </c>
      <c r="P49" s="17">
        <f t="shared" si="92"/>
        <v>-1</v>
      </c>
      <c r="Q49" s="18"/>
      <c r="R49" s="19">
        <f t="shared" si="93"/>
        <v>0</v>
      </c>
      <c r="S49" s="19">
        <f t="shared" si="94"/>
        <v>0</v>
      </c>
      <c r="T49" s="19">
        <f t="shared" si="95"/>
        <v>0</v>
      </c>
      <c r="U49" s="19">
        <f t="shared" si="96"/>
        <v>0</v>
      </c>
      <c r="V49" s="19">
        <f t="shared" si="97"/>
        <v>0</v>
      </c>
      <c r="W49" s="19">
        <f t="shared" si="98"/>
        <v>0</v>
      </c>
      <c r="X49" s="19">
        <f t="shared" si="99"/>
        <v>-3.4482758620689655E-2</v>
      </c>
    </row>
    <row r="50" spans="1:24" x14ac:dyDescent="0.5">
      <c r="A50" s="8" t="s">
        <v>29</v>
      </c>
      <c r="B50" s="3">
        <v>31</v>
      </c>
      <c r="H50" s="16">
        <f>DATE($I$29,$I$30+1-$G$42,2)</f>
        <v>45048</v>
      </c>
      <c r="I50" s="16">
        <f t="shared" si="100"/>
        <v>45046</v>
      </c>
      <c r="J50" s="17">
        <f t="shared" si="88"/>
        <v>-1</v>
      </c>
      <c r="K50" s="17">
        <f t="shared" si="89"/>
        <v>0</v>
      </c>
      <c r="L50" s="17">
        <f t="shared" si="90"/>
        <v>-1</v>
      </c>
      <c r="M50" s="17">
        <f t="shared" si="63"/>
        <v>0</v>
      </c>
      <c r="N50" s="17">
        <f t="shared" si="91"/>
        <v>0</v>
      </c>
      <c r="O50" s="17">
        <f t="shared" si="65"/>
        <v>0</v>
      </c>
      <c r="P50" s="17">
        <f t="shared" si="92"/>
        <v>-2</v>
      </c>
      <c r="Q50" s="18"/>
      <c r="R50" s="19">
        <f t="shared" si="93"/>
        <v>-3.3333333333333333E-2</v>
      </c>
      <c r="S50" s="19">
        <f t="shared" si="94"/>
        <v>0</v>
      </c>
      <c r="T50" s="19">
        <f t="shared" si="95"/>
        <v>-0.2</v>
      </c>
      <c r="U50" s="19">
        <f t="shared" si="96"/>
        <v>0</v>
      </c>
      <c r="V50" s="19">
        <f t="shared" si="97"/>
        <v>0</v>
      </c>
      <c r="W50" s="19">
        <f t="shared" si="98"/>
        <v>0</v>
      </c>
      <c r="X50" s="19">
        <f t="shared" si="99"/>
        <v>-6.8965517241379309E-2</v>
      </c>
    </row>
    <row r="51" spans="1:24" x14ac:dyDescent="0.5">
      <c r="A51" s="8" t="s">
        <v>30</v>
      </c>
      <c r="B51" s="3">
        <v>30</v>
      </c>
    </row>
    <row r="52" spans="1:24" x14ac:dyDescent="0.5">
      <c r="A52" s="8" t="s">
        <v>31</v>
      </c>
      <c r="B52" s="3">
        <v>31</v>
      </c>
    </row>
    <row r="53" spans="1:24" x14ac:dyDescent="0.5">
      <c r="A53" s="8" t="s">
        <v>32</v>
      </c>
      <c r="B53" s="3">
        <v>30</v>
      </c>
    </row>
    <row r="54" spans="1:24" x14ac:dyDescent="0.5">
      <c r="A54" s="8" t="s">
        <v>33</v>
      </c>
      <c r="B54" s="3">
        <v>31</v>
      </c>
    </row>
  </sheetData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Teer, Dave</dc:creator>
  <cp:lastModifiedBy>Michael Gerthe</cp:lastModifiedBy>
  <dcterms:created xsi:type="dcterms:W3CDTF">2024-12-20T16:34:05Z</dcterms:created>
  <dcterms:modified xsi:type="dcterms:W3CDTF">2025-11-13T14:23:36Z</dcterms:modified>
</cp:coreProperties>
</file>